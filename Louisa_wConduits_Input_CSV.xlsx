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a/github/markdown/LEYP_Optimizer_Water/"/>
    </mc:Choice>
  </mc:AlternateContent>
  <xr:revisionPtr revIDLastSave="0" documentId="13_ncr:1_{752807C0-9F1B-D545-94B7-3405CF2DCA5E}" xr6:coauthVersionLast="47" xr6:coauthVersionMax="47" xr10:uidLastSave="{00000000-0000-0000-0000-000000000000}"/>
  <bookViews>
    <workbookView xWindow="0" yWindow="500" windowWidth="28800" windowHeight="17500" activeTab="1" xr2:uid="{F950835A-F36F-8F4D-BC37-25A31CA1B5F4}"/>
  </bookViews>
  <sheets>
    <sheet name="Louisa_wConduits_Input_CSV" sheetId="1" r:id="rId1"/>
    <sheet name="Sheet1" sheetId="2" r:id="rId2"/>
    <sheet name="InstallDate" sheetId="3" r:id="rId3"/>
  </sheets>
  <externalReferences>
    <externalReference r:id="rId4"/>
  </externalReferences>
  <definedNames>
    <definedName name="Louisa_wConduits_Risk_Table_wPipes_Nominal_Flow" localSheetId="2">InstallDate!$A$1:$BF$389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2" i="2"/>
  <c r="AZ2" i="1"/>
  <c r="AY2" i="1"/>
  <c r="AX2" i="1"/>
  <c r="AW2" i="1"/>
  <c r="AV2" i="1"/>
  <c r="AU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2" i="1"/>
  <c r="A2" i="2"/>
  <c r="D2" i="2"/>
  <c r="E2" i="2"/>
  <c r="A3" i="2"/>
  <c r="D3" i="2"/>
  <c r="E3" i="2"/>
  <c r="A4" i="2"/>
  <c r="D4" i="2"/>
  <c r="E4" i="2"/>
  <c r="A5" i="2"/>
  <c r="D5" i="2"/>
  <c r="E5" i="2"/>
  <c r="A6" i="2"/>
  <c r="D6" i="2"/>
  <c r="E6" i="2"/>
  <c r="A7" i="2"/>
  <c r="D7" i="2"/>
  <c r="E7" i="2"/>
  <c r="A8" i="2"/>
  <c r="D8" i="2"/>
  <c r="E8" i="2"/>
  <c r="A9" i="2"/>
  <c r="D9" i="2"/>
  <c r="E9" i="2"/>
  <c r="A10" i="2"/>
  <c r="D10" i="2"/>
  <c r="E10" i="2"/>
  <c r="A11" i="2"/>
  <c r="D11" i="2"/>
  <c r="E11" i="2"/>
  <c r="A12" i="2"/>
  <c r="D12" i="2"/>
  <c r="E12" i="2"/>
  <c r="A13" i="2"/>
  <c r="D13" i="2"/>
  <c r="E13" i="2"/>
  <c r="A14" i="2"/>
  <c r="D14" i="2"/>
  <c r="E14" i="2"/>
  <c r="A15" i="2"/>
  <c r="D15" i="2"/>
  <c r="E15" i="2"/>
  <c r="A16" i="2"/>
  <c r="D16" i="2"/>
  <c r="E16" i="2"/>
  <c r="A17" i="2"/>
  <c r="D17" i="2"/>
  <c r="E17" i="2"/>
  <c r="A18" i="2"/>
  <c r="D18" i="2"/>
  <c r="E18" i="2"/>
  <c r="A19" i="2"/>
  <c r="D19" i="2"/>
  <c r="E19" i="2"/>
  <c r="A20" i="2"/>
  <c r="D20" i="2"/>
  <c r="E20" i="2"/>
  <c r="A21" i="2"/>
  <c r="D21" i="2"/>
  <c r="E21" i="2"/>
  <c r="A22" i="2"/>
  <c r="D22" i="2"/>
  <c r="E22" i="2"/>
  <c r="A23" i="2"/>
  <c r="D23" i="2"/>
  <c r="E23" i="2"/>
  <c r="A24" i="2"/>
  <c r="D24" i="2"/>
  <c r="E24" i="2"/>
  <c r="A25" i="2"/>
  <c r="D25" i="2"/>
  <c r="E25" i="2"/>
  <c r="A26" i="2"/>
  <c r="D26" i="2"/>
  <c r="E26" i="2"/>
  <c r="A27" i="2"/>
  <c r="D27" i="2"/>
  <c r="E27" i="2"/>
  <c r="A28" i="2"/>
  <c r="D28" i="2"/>
  <c r="E28" i="2"/>
  <c r="A29" i="2"/>
  <c r="D29" i="2"/>
  <c r="E29" i="2"/>
  <c r="A30" i="2"/>
  <c r="D30" i="2"/>
  <c r="E30" i="2"/>
  <c r="A31" i="2"/>
  <c r="D31" i="2"/>
  <c r="E31" i="2"/>
  <c r="A32" i="2"/>
  <c r="D32" i="2"/>
  <c r="E32" i="2"/>
  <c r="A33" i="2"/>
  <c r="D33" i="2"/>
  <c r="E33" i="2"/>
  <c r="A34" i="2"/>
  <c r="D34" i="2"/>
  <c r="E34" i="2"/>
  <c r="A35" i="2"/>
  <c r="D35" i="2"/>
  <c r="E35" i="2"/>
  <c r="A36" i="2"/>
  <c r="D36" i="2"/>
  <c r="E36" i="2"/>
  <c r="A37" i="2"/>
  <c r="D37" i="2"/>
  <c r="E37" i="2"/>
  <c r="A38" i="2"/>
  <c r="D38" i="2"/>
  <c r="E38" i="2"/>
  <c r="A39" i="2"/>
  <c r="D39" i="2"/>
  <c r="E39" i="2"/>
  <c r="A40" i="2"/>
  <c r="D40" i="2"/>
  <c r="E40" i="2"/>
  <c r="A41" i="2"/>
  <c r="D41" i="2"/>
  <c r="E41" i="2"/>
  <c r="A42" i="2"/>
  <c r="D42" i="2"/>
  <c r="E42" i="2"/>
  <c r="A43" i="2"/>
  <c r="D43" i="2"/>
  <c r="E43" i="2"/>
  <c r="A44" i="2"/>
  <c r="D44" i="2"/>
  <c r="E44" i="2"/>
  <c r="A45" i="2"/>
  <c r="D45" i="2"/>
  <c r="E45" i="2"/>
  <c r="A46" i="2"/>
  <c r="D46" i="2"/>
  <c r="E46" i="2"/>
  <c r="A47" i="2"/>
  <c r="D47" i="2"/>
  <c r="E47" i="2"/>
  <c r="A48" i="2"/>
  <c r="D48" i="2"/>
  <c r="E48" i="2"/>
  <c r="A49" i="2"/>
  <c r="D49" i="2"/>
  <c r="E49" i="2"/>
  <c r="A50" i="2"/>
  <c r="D50" i="2"/>
  <c r="E50" i="2"/>
  <c r="A51" i="2"/>
  <c r="D51" i="2"/>
  <c r="E51" i="2"/>
  <c r="A52" i="2"/>
  <c r="D52" i="2"/>
  <c r="E52" i="2"/>
  <c r="A53" i="2"/>
  <c r="D53" i="2"/>
  <c r="E53" i="2"/>
  <c r="A54" i="2"/>
  <c r="D54" i="2"/>
  <c r="E54" i="2"/>
  <c r="A55" i="2"/>
  <c r="D55" i="2"/>
  <c r="E55" i="2"/>
  <c r="A56" i="2"/>
  <c r="D56" i="2"/>
  <c r="E56" i="2"/>
  <c r="A57" i="2"/>
  <c r="D57" i="2"/>
  <c r="E57" i="2"/>
  <c r="A58" i="2"/>
  <c r="D58" i="2"/>
  <c r="E58" i="2"/>
  <c r="A59" i="2"/>
  <c r="D59" i="2"/>
  <c r="E59" i="2"/>
  <c r="A60" i="2"/>
  <c r="D60" i="2"/>
  <c r="E60" i="2"/>
  <c r="A61" i="2"/>
  <c r="D61" i="2"/>
  <c r="E61" i="2"/>
  <c r="A62" i="2"/>
  <c r="D62" i="2"/>
  <c r="E62" i="2"/>
  <c r="A63" i="2"/>
  <c r="D63" i="2"/>
  <c r="E63" i="2"/>
  <c r="A64" i="2"/>
  <c r="D64" i="2"/>
  <c r="E64" i="2"/>
  <c r="A65" i="2"/>
  <c r="D65" i="2"/>
  <c r="E65" i="2"/>
  <c r="A66" i="2"/>
  <c r="D66" i="2"/>
  <c r="E66" i="2"/>
  <c r="A67" i="2"/>
  <c r="D67" i="2"/>
  <c r="E67" i="2"/>
  <c r="A68" i="2"/>
  <c r="D68" i="2"/>
  <c r="E68" i="2"/>
  <c r="A69" i="2"/>
  <c r="D69" i="2"/>
  <c r="E69" i="2"/>
  <c r="A70" i="2"/>
  <c r="D70" i="2"/>
  <c r="E70" i="2"/>
  <c r="A71" i="2"/>
  <c r="D71" i="2"/>
  <c r="E71" i="2"/>
  <c r="A72" i="2"/>
  <c r="D72" i="2"/>
  <c r="E72" i="2"/>
  <c r="A73" i="2"/>
  <c r="D73" i="2"/>
  <c r="E73" i="2"/>
  <c r="A74" i="2"/>
  <c r="D74" i="2"/>
  <c r="E74" i="2"/>
  <c r="A75" i="2"/>
  <c r="D75" i="2"/>
  <c r="E75" i="2"/>
  <c r="A76" i="2"/>
  <c r="D76" i="2"/>
  <c r="E76" i="2"/>
  <c r="A77" i="2"/>
  <c r="D77" i="2"/>
  <c r="E77" i="2"/>
  <c r="A78" i="2"/>
  <c r="D78" i="2"/>
  <c r="E78" i="2"/>
  <c r="A79" i="2"/>
  <c r="D79" i="2"/>
  <c r="E79" i="2"/>
  <c r="A80" i="2"/>
  <c r="D80" i="2"/>
  <c r="E80" i="2"/>
  <c r="A81" i="2"/>
  <c r="D81" i="2"/>
  <c r="E81" i="2"/>
  <c r="A82" i="2"/>
  <c r="D82" i="2"/>
  <c r="E82" i="2"/>
  <c r="A83" i="2"/>
  <c r="D83" i="2"/>
  <c r="E83" i="2"/>
  <c r="A84" i="2"/>
  <c r="D84" i="2"/>
  <c r="E84" i="2"/>
  <c r="A85" i="2"/>
  <c r="D85" i="2"/>
  <c r="E85" i="2"/>
  <c r="A86" i="2"/>
  <c r="D86" i="2"/>
  <c r="E86" i="2"/>
  <c r="A87" i="2"/>
  <c r="D87" i="2"/>
  <c r="E87" i="2"/>
  <c r="A88" i="2"/>
  <c r="D88" i="2"/>
  <c r="E88" i="2"/>
  <c r="A89" i="2"/>
  <c r="D89" i="2"/>
  <c r="E89" i="2"/>
  <c r="A90" i="2"/>
  <c r="D90" i="2"/>
  <c r="E90" i="2"/>
  <c r="A91" i="2"/>
  <c r="D91" i="2"/>
  <c r="E91" i="2"/>
  <c r="A92" i="2"/>
  <c r="D92" i="2"/>
  <c r="E92" i="2"/>
  <c r="A93" i="2"/>
  <c r="D93" i="2"/>
  <c r="E93" i="2"/>
  <c r="A94" i="2"/>
  <c r="D94" i="2"/>
  <c r="E94" i="2"/>
  <c r="A95" i="2"/>
  <c r="D95" i="2"/>
  <c r="E95" i="2"/>
  <c r="A96" i="2"/>
  <c r="D96" i="2"/>
  <c r="E96" i="2"/>
  <c r="A97" i="2"/>
  <c r="D97" i="2"/>
  <c r="E97" i="2"/>
  <c r="A98" i="2"/>
  <c r="D98" i="2"/>
  <c r="E98" i="2"/>
  <c r="A99" i="2"/>
  <c r="D99" i="2"/>
  <c r="E99" i="2"/>
  <c r="A100" i="2"/>
  <c r="D100" i="2"/>
  <c r="E100" i="2"/>
  <c r="A101" i="2"/>
  <c r="D101" i="2"/>
  <c r="E101" i="2"/>
  <c r="A102" i="2"/>
  <c r="D102" i="2"/>
  <c r="E102" i="2"/>
  <c r="A103" i="2"/>
  <c r="D103" i="2"/>
  <c r="E103" i="2"/>
  <c r="A104" i="2"/>
  <c r="D104" i="2"/>
  <c r="E104" i="2"/>
  <c r="A105" i="2"/>
  <c r="D105" i="2"/>
  <c r="E105" i="2"/>
  <c r="A106" i="2"/>
  <c r="D106" i="2"/>
  <c r="E106" i="2"/>
  <c r="A107" i="2"/>
  <c r="D107" i="2"/>
  <c r="E107" i="2"/>
  <c r="A108" i="2"/>
  <c r="D108" i="2"/>
  <c r="E108" i="2"/>
  <c r="A109" i="2"/>
  <c r="D109" i="2"/>
  <c r="E109" i="2"/>
  <c r="A110" i="2"/>
  <c r="D110" i="2"/>
  <c r="E110" i="2"/>
  <c r="A111" i="2"/>
  <c r="D111" i="2"/>
  <c r="E111" i="2"/>
  <c r="A112" i="2"/>
  <c r="D112" i="2"/>
  <c r="E112" i="2"/>
  <c r="A113" i="2"/>
  <c r="D113" i="2"/>
  <c r="E113" i="2"/>
  <c r="A114" i="2"/>
  <c r="D114" i="2"/>
  <c r="E114" i="2"/>
  <c r="A115" i="2"/>
  <c r="D115" i="2"/>
  <c r="E115" i="2"/>
  <c r="A116" i="2"/>
  <c r="D116" i="2"/>
  <c r="E116" i="2"/>
  <c r="A117" i="2"/>
  <c r="D117" i="2"/>
  <c r="E117" i="2"/>
  <c r="A118" i="2"/>
  <c r="D118" i="2"/>
  <c r="E118" i="2"/>
  <c r="A119" i="2"/>
  <c r="D119" i="2"/>
  <c r="E119" i="2"/>
  <c r="A120" i="2"/>
  <c r="D120" i="2"/>
  <c r="E120" i="2"/>
  <c r="A121" i="2"/>
  <c r="D121" i="2"/>
  <c r="E121" i="2"/>
  <c r="A122" i="2"/>
  <c r="D122" i="2"/>
  <c r="E122" i="2"/>
  <c r="A123" i="2"/>
  <c r="D123" i="2"/>
  <c r="E123" i="2"/>
  <c r="A124" i="2"/>
  <c r="D124" i="2"/>
  <c r="E124" i="2"/>
  <c r="A125" i="2"/>
  <c r="D125" i="2"/>
  <c r="E125" i="2"/>
  <c r="A126" i="2"/>
  <c r="D126" i="2"/>
  <c r="E126" i="2"/>
  <c r="A127" i="2"/>
  <c r="D127" i="2"/>
  <c r="E127" i="2"/>
  <c r="A128" i="2"/>
  <c r="D128" i="2"/>
  <c r="E128" i="2"/>
  <c r="A129" i="2"/>
  <c r="D129" i="2"/>
  <c r="E129" i="2"/>
  <c r="A130" i="2"/>
  <c r="D130" i="2"/>
  <c r="E130" i="2"/>
  <c r="A131" i="2"/>
  <c r="D131" i="2"/>
  <c r="E131" i="2"/>
  <c r="A132" i="2"/>
  <c r="D132" i="2"/>
  <c r="E132" i="2"/>
  <c r="A133" i="2"/>
  <c r="D133" i="2"/>
  <c r="E133" i="2"/>
  <c r="A134" i="2"/>
  <c r="D134" i="2"/>
  <c r="E134" i="2"/>
  <c r="A135" i="2"/>
  <c r="D135" i="2"/>
  <c r="E135" i="2"/>
  <c r="A136" i="2"/>
  <c r="D136" i="2"/>
  <c r="E136" i="2"/>
  <c r="A137" i="2"/>
  <c r="D137" i="2"/>
  <c r="E137" i="2"/>
  <c r="A138" i="2"/>
  <c r="D138" i="2"/>
  <c r="E138" i="2"/>
  <c r="A139" i="2"/>
  <c r="D139" i="2"/>
  <c r="E139" i="2"/>
  <c r="A140" i="2"/>
  <c r="D140" i="2"/>
  <c r="E140" i="2"/>
  <c r="A141" i="2"/>
  <c r="D141" i="2"/>
  <c r="E141" i="2"/>
  <c r="A142" i="2"/>
  <c r="D142" i="2"/>
  <c r="E142" i="2"/>
  <c r="A143" i="2"/>
  <c r="D143" i="2"/>
  <c r="E143" i="2"/>
  <c r="A144" i="2"/>
  <c r="D144" i="2"/>
  <c r="E144" i="2"/>
  <c r="A145" i="2"/>
  <c r="D145" i="2"/>
  <c r="E145" i="2"/>
  <c r="A146" i="2"/>
  <c r="D146" i="2"/>
  <c r="E146" i="2"/>
  <c r="A147" i="2"/>
  <c r="D147" i="2"/>
  <c r="E147" i="2"/>
  <c r="A148" i="2"/>
  <c r="D148" i="2"/>
  <c r="E148" i="2"/>
  <c r="A149" i="2"/>
  <c r="D149" i="2"/>
  <c r="E149" i="2"/>
  <c r="A150" i="2"/>
  <c r="D150" i="2"/>
  <c r="E150" i="2"/>
  <c r="A151" i="2"/>
  <c r="D151" i="2"/>
  <c r="E151" i="2"/>
  <c r="A152" i="2"/>
  <c r="D152" i="2"/>
  <c r="E152" i="2"/>
  <c r="A153" i="2"/>
  <c r="D153" i="2"/>
  <c r="E153" i="2"/>
  <c r="A154" i="2"/>
  <c r="D154" i="2"/>
  <c r="E154" i="2"/>
  <c r="A155" i="2"/>
  <c r="D155" i="2"/>
  <c r="E155" i="2"/>
  <c r="A156" i="2"/>
  <c r="D156" i="2"/>
  <c r="E156" i="2"/>
  <c r="A157" i="2"/>
  <c r="D157" i="2"/>
  <c r="E157" i="2"/>
  <c r="A158" i="2"/>
  <c r="D158" i="2"/>
  <c r="E158" i="2"/>
  <c r="A159" i="2"/>
  <c r="D159" i="2"/>
  <c r="E159" i="2"/>
  <c r="A160" i="2"/>
  <c r="D160" i="2"/>
  <c r="E160" i="2"/>
  <c r="A161" i="2"/>
  <c r="D161" i="2"/>
  <c r="E161" i="2"/>
  <c r="A162" i="2"/>
  <c r="D162" i="2"/>
  <c r="E162" i="2"/>
  <c r="A163" i="2"/>
  <c r="D163" i="2"/>
  <c r="E163" i="2"/>
  <c r="A164" i="2"/>
  <c r="D164" i="2"/>
  <c r="E164" i="2"/>
  <c r="A165" i="2"/>
  <c r="D165" i="2"/>
  <c r="E165" i="2"/>
  <c r="A166" i="2"/>
  <c r="D166" i="2"/>
  <c r="E166" i="2"/>
  <c r="A167" i="2"/>
  <c r="D167" i="2"/>
  <c r="E167" i="2"/>
  <c r="A168" i="2"/>
  <c r="D168" i="2"/>
  <c r="E168" i="2"/>
  <c r="A169" i="2"/>
  <c r="D169" i="2"/>
  <c r="E169" i="2"/>
  <c r="A170" i="2"/>
  <c r="D170" i="2"/>
  <c r="E170" i="2"/>
  <c r="A171" i="2"/>
  <c r="D171" i="2"/>
  <c r="E171" i="2"/>
  <c r="A172" i="2"/>
  <c r="D172" i="2"/>
  <c r="E172" i="2"/>
  <c r="A173" i="2"/>
  <c r="D173" i="2"/>
  <c r="E173" i="2"/>
  <c r="A174" i="2"/>
  <c r="D174" i="2"/>
  <c r="E174" i="2"/>
  <c r="A175" i="2"/>
  <c r="D175" i="2"/>
  <c r="E175" i="2"/>
  <c r="A176" i="2"/>
  <c r="D176" i="2"/>
  <c r="E176" i="2"/>
  <c r="A177" i="2"/>
  <c r="D177" i="2"/>
  <c r="E177" i="2"/>
  <c r="A178" i="2"/>
  <c r="D178" i="2"/>
  <c r="E178" i="2"/>
  <c r="A179" i="2"/>
  <c r="D179" i="2"/>
  <c r="E179" i="2"/>
  <c r="A180" i="2"/>
  <c r="D180" i="2"/>
  <c r="E180" i="2"/>
  <c r="A181" i="2"/>
  <c r="D181" i="2"/>
  <c r="E181" i="2"/>
  <c r="A182" i="2"/>
  <c r="D182" i="2"/>
  <c r="E182" i="2"/>
  <c r="A183" i="2"/>
  <c r="D183" i="2"/>
  <c r="E183" i="2"/>
  <c r="A184" i="2"/>
  <c r="D184" i="2"/>
  <c r="E184" i="2"/>
  <c r="A185" i="2"/>
  <c r="D185" i="2"/>
  <c r="E185" i="2"/>
  <c r="A186" i="2"/>
  <c r="D186" i="2"/>
  <c r="E186" i="2"/>
  <c r="A187" i="2"/>
  <c r="D187" i="2"/>
  <c r="E187" i="2"/>
  <c r="A188" i="2"/>
  <c r="D188" i="2"/>
  <c r="E188" i="2"/>
  <c r="A189" i="2"/>
  <c r="D189" i="2"/>
  <c r="E189" i="2"/>
  <c r="A190" i="2"/>
  <c r="D190" i="2"/>
  <c r="E190" i="2"/>
  <c r="A191" i="2"/>
  <c r="D191" i="2"/>
  <c r="E191" i="2"/>
  <c r="A192" i="2"/>
  <c r="D192" i="2"/>
  <c r="E192" i="2"/>
  <c r="A193" i="2"/>
  <c r="D193" i="2"/>
  <c r="E193" i="2"/>
  <c r="A194" i="2"/>
  <c r="D194" i="2"/>
  <c r="E194" i="2"/>
  <c r="A195" i="2"/>
  <c r="D195" i="2"/>
  <c r="E195" i="2"/>
  <c r="A196" i="2"/>
  <c r="D196" i="2"/>
  <c r="E196" i="2"/>
  <c r="A197" i="2"/>
  <c r="D197" i="2"/>
  <c r="E197" i="2"/>
  <c r="A198" i="2"/>
  <c r="D198" i="2"/>
  <c r="E198" i="2"/>
  <c r="A199" i="2"/>
  <c r="D199" i="2"/>
  <c r="E199" i="2"/>
  <c r="A200" i="2"/>
  <c r="D200" i="2"/>
  <c r="E200" i="2"/>
  <c r="A201" i="2"/>
  <c r="D201" i="2"/>
  <c r="E201" i="2"/>
  <c r="A202" i="2"/>
  <c r="D202" i="2"/>
  <c r="E202" i="2"/>
  <c r="A203" i="2"/>
  <c r="D203" i="2"/>
  <c r="E203" i="2"/>
  <c r="A204" i="2"/>
  <c r="D204" i="2"/>
  <c r="E204" i="2"/>
  <c r="A205" i="2"/>
  <c r="D205" i="2"/>
  <c r="E205" i="2"/>
  <c r="A206" i="2"/>
  <c r="D206" i="2"/>
  <c r="E206" i="2"/>
  <c r="A207" i="2"/>
  <c r="D207" i="2"/>
  <c r="E207" i="2"/>
  <c r="A208" i="2"/>
  <c r="D208" i="2"/>
  <c r="E208" i="2"/>
  <c r="A209" i="2"/>
  <c r="D209" i="2"/>
  <c r="E209" i="2"/>
  <c r="A210" i="2"/>
  <c r="D210" i="2"/>
  <c r="E210" i="2"/>
  <c r="A211" i="2"/>
  <c r="D211" i="2"/>
  <c r="E211" i="2"/>
  <c r="A212" i="2"/>
  <c r="D212" i="2"/>
  <c r="E212" i="2"/>
  <c r="A213" i="2"/>
  <c r="D213" i="2"/>
  <c r="E213" i="2"/>
  <c r="A214" i="2"/>
  <c r="D214" i="2"/>
  <c r="E214" i="2"/>
  <c r="A215" i="2"/>
  <c r="D215" i="2"/>
  <c r="E215" i="2"/>
  <c r="A216" i="2"/>
  <c r="D216" i="2"/>
  <c r="E216" i="2"/>
  <c r="A217" i="2"/>
  <c r="D217" i="2"/>
  <c r="E217" i="2"/>
  <c r="A218" i="2"/>
  <c r="D218" i="2"/>
  <c r="E218" i="2"/>
  <c r="A219" i="2"/>
  <c r="D219" i="2"/>
  <c r="E219" i="2"/>
  <c r="A220" i="2"/>
  <c r="D220" i="2"/>
  <c r="E220" i="2"/>
  <c r="A221" i="2"/>
  <c r="D221" i="2"/>
  <c r="E221" i="2"/>
  <c r="A222" i="2"/>
  <c r="D222" i="2"/>
  <c r="E222" i="2"/>
  <c r="A223" i="2"/>
  <c r="D223" i="2"/>
  <c r="E223" i="2"/>
  <c r="A224" i="2"/>
  <c r="D224" i="2"/>
  <c r="E224" i="2"/>
  <c r="A225" i="2"/>
  <c r="D225" i="2"/>
  <c r="E225" i="2"/>
  <c r="A226" i="2"/>
  <c r="D226" i="2"/>
  <c r="E226" i="2"/>
  <c r="A227" i="2"/>
  <c r="D227" i="2"/>
  <c r="E227" i="2"/>
  <c r="A228" i="2"/>
  <c r="D228" i="2"/>
  <c r="E228" i="2"/>
  <c r="A229" i="2"/>
  <c r="D229" i="2"/>
  <c r="E229" i="2"/>
  <c r="A230" i="2"/>
  <c r="D230" i="2"/>
  <c r="E230" i="2"/>
  <c r="A231" i="2"/>
  <c r="D231" i="2"/>
  <c r="E231" i="2"/>
  <c r="A232" i="2"/>
  <c r="D232" i="2"/>
  <c r="E232" i="2"/>
  <c r="A233" i="2"/>
  <c r="D233" i="2"/>
  <c r="E233" i="2"/>
  <c r="A234" i="2"/>
  <c r="D234" i="2"/>
  <c r="E234" i="2"/>
  <c r="A235" i="2"/>
  <c r="D235" i="2"/>
  <c r="E235" i="2"/>
  <c r="A236" i="2"/>
  <c r="D236" i="2"/>
  <c r="E236" i="2"/>
  <c r="A237" i="2"/>
  <c r="D237" i="2"/>
  <c r="E237" i="2"/>
  <c r="A238" i="2"/>
  <c r="D238" i="2"/>
  <c r="E238" i="2"/>
  <c r="A239" i="2"/>
  <c r="D239" i="2"/>
  <c r="E239" i="2"/>
  <c r="A240" i="2"/>
  <c r="D240" i="2"/>
  <c r="E240" i="2"/>
  <c r="A241" i="2"/>
  <c r="D241" i="2"/>
  <c r="E241" i="2"/>
  <c r="A242" i="2"/>
  <c r="D242" i="2"/>
  <c r="E242" i="2"/>
  <c r="A243" i="2"/>
  <c r="D243" i="2"/>
  <c r="E243" i="2"/>
  <c r="A244" i="2"/>
  <c r="D244" i="2"/>
  <c r="E244" i="2"/>
  <c r="A245" i="2"/>
  <c r="D245" i="2"/>
  <c r="E245" i="2"/>
  <c r="A246" i="2"/>
  <c r="D246" i="2"/>
  <c r="E246" i="2"/>
  <c r="A247" i="2"/>
  <c r="D247" i="2"/>
  <c r="E247" i="2"/>
  <c r="A248" i="2"/>
  <c r="D248" i="2"/>
  <c r="E248" i="2"/>
  <c r="A249" i="2"/>
  <c r="D249" i="2"/>
  <c r="E249" i="2"/>
  <c r="A250" i="2"/>
  <c r="D250" i="2"/>
  <c r="E250" i="2"/>
  <c r="A251" i="2"/>
  <c r="D251" i="2"/>
  <c r="E251" i="2"/>
  <c r="A252" i="2"/>
  <c r="D252" i="2"/>
  <c r="E252" i="2"/>
  <c r="A253" i="2"/>
  <c r="D253" i="2"/>
  <c r="E253" i="2"/>
  <c r="A254" i="2"/>
  <c r="D254" i="2"/>
  <c r="E254" i="2"/>
  <c r="A255" i="2"/>
  <c r="D255" i="2"/>
  <c r="E255" i="2"/>
  <c r="A256" i="2"/>
  <c r="D256" i="2"/>
  <c r="E256" i="2"/>
  <c r="A257" i="2"/>
  <c r="D257" i="2"/>
  <c r="E257" i="2"/>
  <c r="A258" i="2"/>
  <c r="D258" i="2"/>
  <c r="E258" i="2"/>
  <c r="A259" i="2"/>
  <c r="D259" i="2"/>
  <c r="E259" i="2"/>
  <c r="A260" i="2"/>
  <c r="D260" i="2"/>
  <c r="E260" i="2"/>
  <c r="A261" i="2"/>
  <c r="D261" i="2"/>
  <c r="E261" i="2"/>
  <c r="A262" i="2"/>
  <c r="D262" i="2"/>
  <c r="E262" i="2"/>
  <c r="A263" i="2"/>
  <c r="D263" i="2"/>
  <c r="E263" i="2"/>
  <c r="A264" i="2"/>
  <c r="D264" i="2"/>
  <c r="E264" i="2"/>
  <c r="A265" i="2"/>
  <c r="D265" i="2"/>
  <c r="E265" i="2"/>
  <c r="A266" i="2"/>
  <c r="D266" i="2"/>
  <c r="E266" i="2"/>
  <c r="A267" i="2"/>
  <c r="D267" i="2"/>
  <c r="E267" i="2"/>
  <c r="A268" i="2"/>
  <c r="D268" i="2"/>
  <c r="E268" i="2"/>
  <c r="A269" i="2"/>
  <c r="D269" i="2"/>
  <c r="E269" i="2"/>
  <c r="A270" i="2"/>
  <c r="D270" i="2"/>
  <c r="E270" i="2"/>
  <c r="A271" i="2"/>
  <c r="D271" i="2"/>
  <c r="E271" i="2"/>
  <c r="A272" i="2"/>
  <c r="D272" i="2"/>
  <c r="E272" i="2"/>
  <c r="A273" i="2"/>
  <c r="D273" i="2"/>
  <c r="E273" i="2"/>
  <c r="A274" i="2"/>
  <c r="D274" i="2"/>
  <c r="E274" i="2"/>
  <c r="A275" i="2"/>
  <c r="D275" i="2"/>
  <c r="E275" i="2"/>
  <c r="A276" i="2"/>
  <c r="D276" i="2"/>
  <c r="E276" i="2"/>
  <c r="A277" i="2"/>
  <c r="D277" i="2"/>
  <c r="E277" i="2"/>
  <c r="A278" i="2"/>
  <c r="D278" i="2"/>
  <c r="E278" i="2"/>
  <c r="A279" i="2"/>
  <c r="D279" i="2"/>
  <c r="E279" i="2"/>
  <c r="A280" i="2"/>
  <c r="D280" i="2"/>
  <c r="E280" i="2"/>
  <c r="A281" i="2"/>
  <c r="D281" i="2"/>
  <c r="E281" i="2"/>
  <c r="A282" i="2"/>
  <c r="D282" i="2"/>
  <c r="E282" i="2"/>
  <c r="A283" i="2"/>
  <c r="D283" i="2"/>
  <c r="E283" i="2"/>
  <c r="A284" i="2"/>
  <c r="D284" i="2"/>
  <c r="E284" i="2"/>
  <c r="A285" i="2"/>
  <c r="D285" i="2"/>
  <c r="E285" i="2"/>
  <c r="A286" i="2"/>
  <c r="D286" i="2"/>
  <c r="E286" i="2"/>
  <c r="A287" i="2"/>
  <c r="D287" i="2"/>
  <c r="E287" i="2"/>
  <c r="A288" i="2"/>
  <c r="D288" i="2"/>
  <c r="E288" i="2"/>
  <c r="A289" i="2"/>
  <c r="D289" i="2"/>
  <c r="E289" i="2"/>
  <c r="A290" i="2"/>
  <c r="D290" i="2"/>
  <c r="E290" i="2"/>
  <c r="A291" i="2"/>
  <c r="D291" i="2"/>
  <c r="E291" i="2"/>
  <c r="A292" i="2"/>
  <c r="D292" i="2"/>
  <c r="E292" i="2"/>
  <c r="A293" i="2"/>
  <c r="D293" i="2"/>
  <c r="E293" i="2"/>
  <c r="A294" i="2"/>
  <c r="D294" i="2"/>
  <c r="E294" i="2"/>
  <c r="A295" i="2"/>
  <c r="D295" i="2"/>
  <c r="E295" i="2"/>
  <c r="A296" i="2"/>
  <c r="D296" i="2"/>
  <c r="E296" i="2"/>
  <c r="A297" i="2"/>
  <c r="D297" i="2"/>
  <c r="E297" i="2"/>
  <c r="A298" i="2"/>
  <c r="D298" i="2"/>
  <c r="E298" i="2"/>
  <c r="A299" i="2"/>
  <c r="D299" i="2"/>
  <c r="E299" i="2"/>
  <c r="A300" i="2"/>
  <c r="D300" i="2"/>
  <c r="E300" i="2"/>
  <c r="A301" i="2"/>
  <c r="D301" i="2"/>
  <c r="E301" i="2"/>
  <c r="A302" i="2"/>
  <c r="D302" i="2"/>
  <c r="E302" i="2"/>
  <c r="A303" i="2"/>
  <c r="D303" i="2"/>
  <c r="E303" i="2"/>
  <c r="A304" i="2"/>
  <c r="D304" i="2"/>
  <c r="E304" i="2"/>
  <c r="A305" i="2"/>
  <c r="D305" i="2"/>
  <c r="E305" i="2"/>
  <c r="A306" i="2"/>
  <c r="D306" i="2"/>
  <c r="E306" i="2"/>
  <c r="A307" i="2"/>
  <c r="D307" i="2"/>
  <c r="E307" i="2"/>
  <c r="A308" i="2"/>
  <c r="D308" i="2"/>
  <c r="E308" i="2"/>
  <c r="A309" i="2"/>
  <c r="D309" i="2"/>
  <c r="E309" i="2"/>
  <c r="A310" i="2"/>
  <c r="D310" i="2"/>
  <c r="E310" i="2"/>
  <c r="A311" i="2"/>
  <c r="D311" i="2"/>
  <c r="E311" i="2"/>
  <c r="A312" i="2"/>
  <c r="D312" i="2"/>
  <c r="E312" i="2"/>
  <c r="A313" i="2"/>
  <c r="D313" i="2"/>
  <c r="E313" i="2"/>
  <c r="A314" i="2"/>
  <c r="D314" i="2"/>
  <c r="E314" i="2"/>
  <c r="A315" i="2"/>
  <c r="D315" i="2"/>
  <c r="E315" i="2"/>
  <c r="A316" i="2"/>
  <c r="D316" i="2"/>
  <c r="E316" i="2"/>
  <c r="A317" i="2"/>
  <c r="D317" i="2"/>
  <c r="E317" i="2"/>
  <c r="A318" i="2"/>
  <c r="D318" i="2"/>
  <c r="E318" i="2"/>
  <c r="A319" i="2"/>
  <c r="D319" i="2"/>
  <c r="E319" i="2"/>
  <c r="A320" i="2"/>
  <c r="D320" i="2"/>
  <c r="E320" i="2"/>
  <c r="A321" i="2"/>
  <c r="D321" i="2"/>
  <c r="E321" i="2"/>
  <c r="A322" i="2"/>
  <c r="D322" i="2"/>
  <c r="E322" i="2"/>
  <c r="A323" i="2"/>
  <c r="D323" i="2"/>
  <c r="E323" i="2"/>
  <c r="A324" i="2"/>
  <c r="D324" i="2"/>
  <c r="E324" i="2"/>
  <c r="A325" i="2"/>
  <c r="D325" i="2"/>
  <c r="E325" i="2"/>
  <c r="A326" i="2"/>
  <c r="D326" i="2"/>
  <c r="E326" i="2"/>
  <c r="A327" i="2"/>
  <c r="D327" i="2"/>
  <c r="E327" i="2"/>
  <c r="A328" i="2"/>
  <c r="D328" i="2"/>
  <c r="E328" i="2"/>
  <c r="A329" i="2"/>
  <c r="D329" i="2"/>
  <c r="E329" i="2"/>
  <c r="A330" i="2"/>
  <c r="D330" i="2"/>
  <c r="E330" i="2"/>
  <c r="A331" i="2"/>
  <c r="D331" i="2"/>
  <c r="E331" i="2"/>
  <c r="A332" i="2"/>
  <c r="D332" i="2"/>
  <c r="E332" i="2"/>
  <c r="A333" i="2"/>
  <c r="D333" i="2"/>
  <c r="E333" i="2"/>
  <c r="A334" i="2"/>
  <c r="D334" i="2"/>
  <c r="E334" i="2"/>
  <c r="A335" i="2"/>
  <c r="D335" i="2"/>
  <c r="E335" i="2"/>
  <c r="A336" i="2"/>
  <c r="D336" i="2"/>
  <c r="E336" i="2"/>
  <c r="A337" i="2"/>
  <c r="D337" i="2"/>
  <c r="E337" i="2"/>
  <c r="A338" i="2"/>
  <c r="D338" i="2"/>
  <c r="E338" i="2"/>
  <c r="A339" i="2"/>
  <c r="D339" i="2"/>
  <c r="E339" i="2"/>
  <c r="A340" i="2"/>
  <c r="D340" i="2"/>
  <c r="E340" i="2"/>
  <c r="A341" i="2"/>
  <c r="D341" i="2"/>
  <c r="E341" i="2"/>
  <c r="A342" i="2"/>
  <c r="D342" i="2"/>
  <c r="E342" i="2"/>
  <c r="A343" i="2"/>
  <c r="D343" i="2"/>
  <c r="E343" i="2"/>
  <c r="A344" i="2"/>
  <c r="D344" i="2"/>
  <c r="E344" i="2"/>
  <c r="A345" i="2"/>
  <c r="D345" i="2"/>
  <c r="E345" i="2"/>
  <c r="A346" i="2"/>
  <c r="D346" i="2"/>
  <c r="E346" i="2"/>
  <c r="A347" i="2"/>
  <c r="D347" i="2"/>
  <c r="E347" i="2"/>
  <c r="A348" i="2"/>
  <c r="D348" i="2"/>
  <c r="E348" i="2"/>
  <c r="A349" i="2"/>
  <c r="D349" i="2"/>
  <c r="E349" i="2"/>
  <c r="A350" i="2"/>
  <c r="D350" i="2"/>
  <c r="E350" i="2"/>
  <c r="A351" i="2"/>
  <c r="D351" i="2"/>
  <c r="E351" i="2"/>
  <c r="A352" i="2"/>
  <c r="D352" i="2"/>
  <c r="E352" i="2"/>
  <c r="A353" i="2"/>
  <c r="D353" i="2"/>
  <c r="E353" i="2"/>
  <c r="A354" i="2"/>
  <c r="D354" i="2"/>
  <c r="E354" i="2"/>
  <c r="A355" i="2"/>
  <c r="D355" i="2"/>
  <c r="E355" i="2"/>
  <c r="A356" i="2"/>
  <c r="D356" i="2"/>
  <c r="E356" i="2"/>
  <c r="A357" i="2"/>
  <c r="D357" i="2"/>
  <c r="E357" i="2"/>
  <c r="A358" i="2"/>
  <c r="D358" i="2"/>
  <c r="E358" i="2"/>
  <c r="A359" i="2"/>
  <c r="D359" i="2"/>
  <c r="E359" i="2"/>
  <c r="A360" i="2"/>
  <c r="D360" i="2"/>
  <c r="E360" i="2"/>
  <c r="A361" i="2"/>
  <c r="D361" i="2"/>
  <c r="E361" i="2"/>
  <c r="A362" i="2"/>
  <c r="D362" i="2"/>
  <c r="E362" i="2"/>
  <c r="A363" i="2"/>
  <c r="D363" i="2"/>
  <c r="E363" i="2"/>
  <c r="A364" i="2"/>
  <c r="D364" i="2"/>
  <c r="E364" i="2"/>
  <c r="A365" i="2"/>
  <c r="D365" i="2"/>
  <c r="E365" i="2"/>
  <c r="A366" i="2"/>
  <c r="D366" i="2"/>
  <c r="E366" i="2"/>
  <c r="A367" i="2"/>
  <c r="D367" i="2"/>
  <c r="E367" i="2"/>
  <c r="A368" i="2"/>
  <c r="D368" i="2"/>
  <c r="E368" i="2"/>
  <c r="A369" i="2"/>
  <c r="D369" i="2"/>
  <c r="E369" i="2"/>
  <c r="A370" i="2"/>
  <c r="D370" i="2"/>
  <c r="E370" i="2"/>
  <c r="A371" i="2"/>
  <c r="D371" i="2"/>
  <c r="E371" i="2"/>
  <c r="A372" i="2"/>
  <c r="D372" i="2"/>
  <c r="E372" i="2"/>
  <c r="A373" i="2"/>
  <c r="D373" i="2"/>
  <c r="E373" i="2"/>
  <c r="A374" i="2"/>
  <c r="D374" i="2"/>
  <c r="E374" i="2"/>
  <c r="A375" i="2"/>
  <c r="D375" i="2"/>
  <c r="E375" i="2"/>
  <c r="A376" i="2"/>
  <c r="D376" i="2"/>
  <c r="E376" i="2"/>
  <c r="A377" i="2"/>
  <c r="D377" i="2"/>
  <c r="E377" i="2"/>
  <c r="A378" i="2"/>
  <c r="D378" i="2"/>
  <c r="E378" i="2"/>
  <c r="A379" i="2"/>
  <c r="D379" i="2"/>
  <c r="E379" i="2"/>
  <c r="A380" i="2"/>
  <c r="D380" i="2"/>
  <c r="E380" i="2"/>
  <c r="A381" i="2"/>
  <c r="D381" i="2"/>
  <c r="E381" i="2"/>
  <c r="A382" i="2"/>
  <c r="D382" i="2"/>
  <c r="E382" i="2"/>
  <c r="A383" i="2"/>
  <c r="D383" i="2"/>
  <c r="E383" i="2"/>
  <c r="A384" i="2"/>
  <c r="D384" i="2"/>
  <c r="E384" i="2"/>
  <c r="A385" i="2"/>
  <c r="D385" i="2"/>
  <c r="E385" i="2"/>
  <c r="A386" i="2"/>
  <c r="D386" i="2"/>
  <c r="E386" i="2"/>
  <c r="A387" i="2"/>
  <c r="D387" i="2"/>
  <c r="E387" i="2"/>
  <c r="A388" i="2"/>
  <c r="D388" i="2"/>
  <c r="E388" i="2"/>
  <c r="A389" i="2"/>
  <c r="D389" i="2"/>
  <c r="E389" i="2"/>
  <c r="AV1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BH4" i="1"/>
  <c r="F378" i="2" l="1"/>
  <c r="F379" i="2"/>
  <c r="F380" i="2"/>
  <c r="F381" i="2"/>
  <c r="F382" i="2"/>
  <c r="F383" i="2"/>
  <c r="F384" i="2"/>
  <c r="F385" i="2"/>
  <c r="F386" i="2"/>
  <c r="F387" i="2"/>
  <c r="AW162" i="1"/>
  <c r="AX162" i="1"/>
  <c r="AV162" i="1"/>
  <c r="AY162" i="1" s="1"/>
  <c r="AX322" i="1"/>
  <c r="AW322" i="1"/>
  <c r="AV322" i="1"/>
  <c r="AV3" i="1"/>
  <c r="AW3" i="1"/>
  <c r="AX3" i="1"/>
  <c r="AX323" i="1"/>
  <c r="AW323" i="1"/>
  <c r="AV323" i="1"/>
  <c r="AY323" i="1" s="1"/>
  <c r="AX163" i="1"/>
  <c r="AW163" i="1"/>
  <c r="AV163" i="1"/>
  <c r="AX324" i="1"/>
  <c r="AV164" i="1"/>
  <c r="AW324" i="1"/>
  <c r="AV324" i="1"/>
  <c r="AY324" i="1" s="1"/>
  <c r="AV4" i="1"/>
  <c r="AW4" i="1"/>
  <c r="AX4" i="1"/>
  <c r="AW5" i="1"/>
  <c r="AX5" i="1"/>
  <c r="AV5" i="1"/>
  <c r="AV325" i="1"/>
  <c r="AW165" i="1"/>
  <c r="AV165" i="1"/>
  <c r="AX164" i="1"/>
  <c r="AW164" i="1"/>
  <c r="AW6" i="1"/>
  <c r="AX6" i="1"/>
  <c r="AV6" i="1"/>
  <c r="AW7" i="1"/>
  <c r="AV7" i="1"/>
  <c r="AW325" i="1"/>
  <c r="AX325" i="1"/>
  <c r="AX165" i="1"/>
  <c r="AX7" i="1"/>
  <c r="AX8" i="1"/>
  <c r="AW8" i="1"/>
  <c r="AV8" i="1"/>
  <c r="AX9" i="1"/>
  <c r="AV9" i="1"/>
  <c r="AW9" i="1"/>
  <c r="AV10" i="1"/>
  <c r="AW10" i="1"/>
  <c r="AX10" i="1"/>
  <c r="AW11" i="1"/>
  <c r="AV11" i="1"/>
  <c r="AX11" i="1"/>
  <c r="AX12" i="1"/>
  <c r="AV12" i="1"/>
  <c r="AW12" i="1"/>
  <c r="AV166" i="1"/>
  <c r="AW166" i="1"/>
  <c r="AW13" i="1"/>
  <c r="AX326" i="1"/>
  <c r="AW326" i="1"/>
  <c r="AV326" i="1"/>
  <c r="AV13" i="1"/>
  <c r="AX13" i="1"/>
  <c r="AX14" i="1"/>
  <c r="AW14" i="1"/>
  <c r="AV14" i="1"/>
  <c r="AW15" i="1"/>
  <c r="AV15" i="1"/>
  <c r="AX166" i="1"/>
  <c r="AX15" i="1"/>
  <c r="AV16" i="1"/>
  <c r="AW16" i="1"/>
  <c r="AX16" i="1"/>
  <c r="AW17" i="1"/>
  <c r="AV17" i="1"/>
  <c r="AX17" i="1"/>
  <c r="AV18" i="1"/>
  <c r="AW18" i="1"/>
  <c r="AX18" i="1"/>
  <c r="AV327" i="1"/>
  <c r="AV19" i="1"/>
  <c r="AW19" i="1"/>
  <c r="AX19" i="1"/>
  <c r="AV20" i="1"/>
  <c r="AW20" i="1"/>
  <c r="AX20" i="1"/>
  <c r="AX21" i="1"/>
  <c r="AW21" i="1"/>
  <c r="AV21" i="1"/>
  <c r="AW22" i="1"/>
  <c r="AV167" i="1"/>
  <c r="AW327" i="1"/>
  <c r="AX22" i="1"/>
  <c r="AV22" i="1"/>
  <c r="AX23" i="1"/>
  <c r="AW23" i="1"/>
  <c r="AV23" i="1"/>
  <c r="AW167" i="1"/>
  <c r="AX327" i="1"/>
  <c r="AX24" i="1"/>
  <c r="AV24" i="1"/>
  <c r="AW24" i="1"/>
  <c r="AX167" i="1"/>
  <c r="AV25" i="1"/>
  <c r="AW25" i="1"/>
  <c r="AX25" i="1"/>
  <c r="AX26" i="1"/>
  <c r="AV26" i="1"/>
  <c r="AW26" i="1"/>
  <c r="AX27" i="1"/>
  <c r="AV27" i="1"/>
  <c r="AW27" i="1"/>
  <c r="AW28" i="1"/>
  <c r="AX28" i="1"/>
  <c r="AV28" i="1"/>
  <c r="AW29" i="1"/>
  <c r="AV29" i="1"/>
  <c r="AX29" i="1"/>
  <c r="AV328" i="1"/>
  <c r="AX30" i="1"/>
  <c r="AW30" i="1"/>
  <c r="AV30" i="1"/>
  <c r="AV168" i="1"/>
  <c r="AW328" i="1"/>
  <c r="AV31" i="1"/>
  <c r="AX31" i="1"/>
  <c r="AW31" i="1"/>
  <c r="AW32" i="1"/>
  <c r="AX32" i="1"/>
  <c r="AV32" i="1"/>
  <c r="AX328" i="1"/>
  <c r="AW168" i="1"/>
  <c r="AV33" i="1"/>
  <c r="AW33" i="1"/>
  <c r="AX33" i="1"/>
  <c r="AX168" i="1"/>
  <c r="AW34" i="1"/>
  <c r="AV34" i="1"/>
  <c r="AX34" i="1"/>
  <c r="AX35" i="1"/>
  <c r="AW35" i="1"/>
  <c r="AV35" i="1"/>
  <c r="AX36" i="1"/>
  <c r="AV36" i="1"/>
  <c r="AW36" i="1"/>
  <c r="AW37" i="1"/>
  <c r="AX37" i="1"/>
  <c r="AV37" i="1"/>
  <c r="AX38" i="1"/>
  <c r="AW38" i="1"/>
  <c r="AV38" i="1"/>
  <c r="AV329" i="1"/>
  <c r="AX39" i="1"/>
  <c r="AV39" i="1"/>
  <c r="AW39" i="1"/>
  <c r="AW40" i="1"/>
  <c r="AX40" i="1"/>
  <c r="AV40" i="1"/>
  <c r="AX41" i="1"/>
  <c r="AV169" i="1"/>
  <c r="AW329" i="1"/>
  <c r="AV41" i="1"/>
  <c r="AW41" i="1"/>
  <c r="AV42" i="1"/>
  <c r="AW42" i="1"/>
  <c r="AX42" i="1"/>
  <c r="AW169" i="1"/>
  <c r="AV43" i="1"/>
  <c r="AX43" i="1"/>
  <c r="AW43" i="1"/>
  <c r="AX169" i="1"/>
  <c r="AX329" i="1"/>
  <c r="AW44" i="1"/>
  <c r="AV44" i="1"/>
  <c r="AX44" i="1"/>
  <c r="AX45" i="1"/>
  <c r="AV45" i="1"/>
  <c r="AW45" i="1"/>
  <c r="AX46" i="1"/>
  <c r="AV46" i="1"/>
  <c r="AW46" i="1"/>
  <c r="AX47" i="1"/>
  <c r="AW47" i="1"/>
  <c r="AV47" i="1"/>
  <c r="AW48" i="1"/>
  <c r="AX48" i="1"/>
  <c r="AV48" i="1"/>
  <c r="AX49" i="1"/>
  <c r="AW49" i="1"/>
  <c r="AV49" i="1"/>
  <c r="AX50" i="1"/>
  <c r="AW50" i="1"/>
  <c r="AV330" i="1"/>
  <c r="AV50" i="1"/>
  <c r="AW51" i="1"/>
  <c r="AV51" i="1"/>
  <c r="AX51" i="1"/>
  <c r="AV170" i="1"/>
  <c r="AW52" i="1"/>
  <c r="AV52" i="1"/>
  <c r="AX52" i="1"/>
  <c r="AV53" i="1"/>
  <c r="AW53" i="1"/>
  <c r="AX53" i="1"/>
  <c r="AW330" i="1"/>
  <c r="AV54" i="1"/>
  <c r="AW54" i="1"/>
  <c r="AX54" i="1"/>
  <c r="AW170" i="1"/>
  <c r="AX55" i="1"/>
  <c r="AW55" i="1"/>
  <c r="AV55" i="1"/>
  <c r="AX330" i="1"/>
  <c r="AV56" i="1"/>
  <c r="AW56" i="1"/>
  <c r="AX170" i="1"/>
  <c r="AX56" i="1"/>
  <c r="AW57" i="1"/>
  <c r="AV57" i="1"/>
  <c r="AX57" i="1"/>
  <c r="AV58" i="1"/>
  <c r="AX58" i="1"/>
  <c r="AW58" i="1"/>
  <c r="AV59" i="1"/>
  <c r="AX59" i="1"/>
  <c r="AW59" i="1"/>
  <c r="AX60" i="1"/>
  <c r="AW60" i="1"/>
  <c r="AV60" i="1"/>
  <c r="AV61" i="1"/>
  <c r="AW61" i="1"/>
  <c r="AX61" i="1"/>
  <c r="AW62" i="1"/>
  <c r="AV62" i="1"/>
  <c r="AX62" i="1"/>
  <c r="AX63" i="1"/>
  <c r="AW63" i="1"/>
  <c r="AV63" i="1"/>
  <c r="AX64" i="1"/>
  <c r="AV331" i="1"/>
  <c r="AV64" i="1"/>
  <c r="AW64" i="1"/>
  <c r="AV171" i="1"/>
  <c r="AV65" i="1"/>
  <c r="AW65" i="1"/>
  <c r="AX65" i="1"/>
  <c r="AW331" i="1"/>
  <c r="AV66" i="1"/>
  <c r="AW171" i="1"/>
  <c r="AW66" i="1"/>
  <c r="AX66" i="1"/>
  <c r="AX67" i="1"/>
  <c r="AW67" i="1"/>
  <c r="AV67" i="1"/>
  <c r="AW68" i="1"/>
  <c r="AX331" i="1"/>
  <c r="AX68" i="1"/>
  <c r="AV68" i="1"/>
  <c r="AW69" i="1"/>
  <c r="AV69" i="1"/>
  <c r="AX69" i="1"/>
  <c r="AV70" i="1"/>
  <c r="AW70" i="1"/>
  <c r="AX70" i="1"/>
  <c r="AX171" i="1"/>
  <c r="AV71" i="1"/>
  <c r="AW71" i="1"/>
  <c r="AX71" i="1"/>
  <c r="AX72" i="1"/>
  <c r="AW72" i="1"/>
  <c r="AV72" i="1"/>
  <c r="AX73" i="1"/>
  <c r="AW73" i="1"/>
  <c r="AV73" i="1"/>
  <c r="AV74" i="1"/>
  <c r="AW74" i="1"/>
  <c r="AX74" i="1"/>
  <c r="AV332" i="1"/>
  <c r="AX75" i="1"/>
  <c r="AW75" i="1"/>
  <c r="AV75" i="1"/>
  <c r="AV76" i="1"/>
  <c r="AW76" i="1"/>
  <c r="AX76" i="1"/>
  <c r="AW332" i="1"/>
  <c r="AV77" i="1"/>
  <c r="AW77" i="1"/>
  <c r="AX77" i="1"/>
  <c r="AV78" i="1"/>
  <c r="AW78" i="1"/>
  <c r="AX78" i="1"/>
  <c r="AW79" i="1"/>
  <c r="AX79" i="1"/>
  <c r="AV79" i="1"/>
  <c r="AV80" i="1"/>
  <c r="AW80" i="1"/>
  <c r="AX80" i="1"/>
  <c r="AX332" i="1"/>
  <c r="AW81" i="1"/>
  <c r="AX81" i="1"/>
  <c r="AV81" i="1"/>
  <c r="AV82" i="1"/>
  <c r="AW82" i="1"/>
  <c r="AX82" i="1"/>
  <c r="AW83" i="1"/>
  <c r="AX83" i="1"/>
  <c r="AV83" i="1"/>
  <c r="AW84" i="1"/>
  <c r="AV84" i="1"/>
  <c r="AX84" i="1"/>
  <c r="AV85" i="1"/>
  <c r="AW85" i="1"/>
  <c r="AX85" i="1"/>
  <c r="AX86" i="1"/>
  <c r="AW86" i="1"/>
  <c r="AV86" i="1"/>
  <c r="AY86" i="1" s="1"/>
  <c r="AV87" i="1"/>
  <c r="AW87" i="1"/>
  <c r="AX87" i="1"/>
  <c r="AV333" i="1"/>
  <c r="AW88" i="1"/>
  <c r="AV88" i="1"/>
  <c r="AX88" i="1"/>
  <c r="AV89" i="1"/>
  <c r="AW89" i="1"/>
  <c r="AX89" i="1"/>
  <c r="AW90" i="1"/>
  <c r="AV90" i="1"/>
  <c r="AX90" i="1"/>
  <c r="AW91" i="1"/>
  <c r="AW333" i="1"/>
  <c r="AX91" i="1"/>
  <c r="AV91" i="1"/>
  <c r="AY91" i="1" s="1"/>
  <c r="AX92" i="1"/>
  <c r="AW92" i="1"/>
  <c r="AV92" i="1"/>
  <c r="AX333" i="1"/>
  <c r="AW93" i="1"/>
  <c r="AX93" i="1"/>
  <c r="AV93" i="1"/>
  <c r="AV94" i="1"/>
  <c r="AX94" i="1"/>
  <c r="AW94" i="1"/>
  <c r="AX95" i="1"/>
  <c r="AW95" i="1"/>
  <c r="AV95" i="1"/>
  <c r="AY95" i="1" s="1"/>
  <c r="AV96" i="1"/>
  <c r="AW96" i="1"/>
  <c r="AX96" i="1"/>
  <c r="AV172" i="1"/>
  <c r="AX97" i="1"/>
  <c r="AW97" i="1"/>
  <c r="AV97" i="1"/>
  <c r="AY97" i="1" s="1"/>
  <c r="AV98" i="1"/>
  <c r="AX98" i="1"/>
  <c r="AW98" i="1"/>
  <c r="AX99" i="1"/>
  <c r="AW99" i="1"/>
  <c r="AV99" i="1"/>
  <c r="AY99" i="1" s="1"/>
  <c r="AW172" i="1"/>
  <c r="AX100" i="1"/>
  <c r="AW100" i="1"/>
  <c r="AV100" i="1"/>
  <c r="AY100" i="1" s="1"/>
  <c r="AV101" i="1"/>
  <c r="AW101" i="1"/>
  <c r="AX101" i="1"/>
  <c r="AW102" i="1"/>
  <c r="AV102" i="1"/>
  <c r="AX102" i="1"/>
  <c r="AX103" i="1"/>
  <c r="AW103" i="1"/>
  <c r="AV103" i="1"/>
  <c r="AY103" i="1" s="1"/>
  <c r="AV334" i="1"/>
  <c r="AX172" i="1"/>
  <c r="AX104" i="1"/>
  <c r="AV104" i="1"/>
  <c r="AW104" i="1"/>
  <c r="AV105" i="1"/>
  <c r="AW105" i="1"/>
  <c r="AX105" i="1"/>
  <c r="AX106" i="1"/>
  <c r="AW106" i="1"/>
  <c r="AV106" i="1"/>
  <c r="AW334" i="1"/>
  <c r="AX107" i="1"/>
  <c r="AW107" i="1"/>
  <c r="AV107" i="1"/>
  <c r="AW108" i="1"/>
  <c r="AX108" i="1"/>
  <c r="AV108" i="1"/>
  <c r="AV109" i="1"/>
  <c r="AX109" i="1"/>
  <c r="AW109" i="1"/>
  <c r="AX334" i="1"/>
  <c r="AX110" i="1"/>
  <c r="AW110" i="1"/>
  <c r="AV110" i="1"/>
  <c r="AX111" i="1"/>
  <c r="AW111" i="1"/>
  <c r="AV111" i="1"/>
  <c r="AV173" i="1"/>
  <c r="AX112" i="1"/>
  <c r="AW112" i="1"/>
  <c r="AV112" i="1"/>
  <c r="AW113" i="1"/>
  <c r="AV113" i="1"/>
  <c r="AX113" i="1"/>
  <c r="AW114" i="1"/>
  <c r="AX114" i="1"/>
  <c r="AV114" i="1"/>
  <c r="AX115" i="1"/>
  <c r="AW115" i="1"/>
  <c r="AV115" i="1"/>
  <c r="AX116" i="1"/>
  <c r="AW116" i="1"/>
  <c r="AV116" i="1"/>
  <c r="AW173" i="1"/>
  <c r="AX117" i="1"/>
  <c r="AW117" i="1"/>
  <c r="AV117" i="1"/>
  <c r="AV118" i="1"/>
  <c r="AW118" i="1"/>
  <c r="AX118" i="1"/>
  <c r="AW119" i="1"/>
  <c r="AV119" i="1"/>
  <c r="AV335" i="1"/>
  <c r="AX119" i="1"/>
  <c r="AX120" i="1"/>
  <c r="AW120" i="1"/>
  <c r="AV120" i="1"/>
  <c r="AX173" i="1"/>
  <c r="AX121" i="1"/>
  <c r="AV121" i="1"/>
  <c r="AW121" i="1"/>
  <c r="AW122" i="1"/>
  <c r="AV122" i="1"/>
  <c r="AX122" i="1"/>
  <c r="AW335" i="1"/>
  <c r="AX123" i="1"/>
  <c r="AW123" i="1"/>
  <c r="AV123" i="1"/>
  <c r="AX124" i="1"/>
  <c r="AW124" i="1"/>
  <c r="AV124" i="1"/>
  <c r="AX125" i="1"/>
  <c r="AV125" i="1"/>
  <c r="AW125" i="1"/>
  <c r="AW126" i="1"/>
  <c r="AV126" i="1"/>
  <c r="AX126" i="1"/>
  <c r="AW127" i="1"/>
  <c r="AX127" i="1"/>
  <c r="AV127" i="1"/>
  <c r="AW128" i="1"/>
  <c r="AX335" i="1"/>
  <c r="AV128" i="1"/>
  <c r="AX128" i="1"/>
  <c r="AV129" i="1"/>
  <c r="AW129" i="1"/>
  <c r="AX129" i="1"/>
  <c r="AX130" i="1"/>
  <c r="AW130" i="1"/>
  <c r="AV130" i="1"/>
  <c r="AY130" i="1" s="1"/>
  <c r="AV174" i="1"/>
  <c r="AV131" i="1"/>
  <c r="AW131" i="1"/>
  <c r="AX131" i="1"/>
  <c r="AV132" i="1"/>
  <c r="AW132" i="1"/>
  <c r="AX132" i="1"/>
  <c r="AV133" i="1"/>
  <c r="AW174" i="1"/>
  <c r="AV336" i="1"/>
  <c r="AW133" i="1"/>
  <c r="AX133" i="1"/>
  <c r="AX134" i="1"/>
  <c r="AV134" i="1"/>
  <c r="AW134" i="1"/>
  <c r="AX135" i="1"/>
  <c r="AW135" i="1"/>
  <c r="AV135" i="1"/>
  <c r="AV136" i="1"/>
  <c r="AW136" i="1"/>
  <c r="AX136" i="1"/>
  <c r="AX137" i="1"/>
  <c r="AW137" i="1"/>
  <c r="AV137" i="1"/>
  <c r="AW138" i="1"/>
  <c r="AX138" i="1"/>
  <c r="AV138" i="1"/>
  <c r="AW139" i="1"/>
  <c r="AV139" i="1"/>
  <c r="AX174" i="1"/>
  <c r="AX139" i="1"/>
  <c r="AW140" i="1"/>
  <c r="AV140" i="1"/>
  <c r="AW336" i="1"/>
  <c r="AV141" i="1"/>
  <c r="AX141" i="1"/>
  <c r="AW141" i="1"/>
  <c r="AV142" i="1"/>
  <c r="AW142" i="1"/>
  <c r="AX142" i="1"/>
  <c r="AW143" i="1"/>
  <c r="AV143" i="1"/>
  <c r="AX143" i="1"/>
  <c r="AX144" i="1"/>
  <c r="AV144" i="1"/>
  <c r="AW144" i="1"/>
  <c r="AX145" i="1"/>
  <c r="AX336" i="1"/>
  <c r="AV145" i="1"/>
  <c r="AW145" i="1"/>
  <c r="AV146" i="1"/>
  <c r="AW146" i="1"/>
  <c r="AX146" i="1"/>
  <c r="AX148" i="1"/>
  <c r="AW147" i="1"/>
  <c r="AW148" i="1"/>
  <c r="AV148" i="1"/>
  <c r="AV147" i="1"/>
  <c r="AV175" i="1"/>
  <c r="AX149" i="1"/>
  <c r="AW149" i="1"/>
  <c r="AV149" i="1"/>
  <c r="AW175" i="1"/>
  <c r="AX147" i="1"/>
  <c r="AV337" i="1"/>
  <c r="AV150" i="1"/>
  <c r="AW150" i="1"/>
  <c r="AX150" i="1"/>
  <c r="AX151" i="1"/>
  <c r="AV151" i="1"/>
  <c r="AW151" i="1"/>
  <c r="AV152" i="1"/>
  <c r="AW152" i="1"/>
  <c r="AX152" i="1"/>
  <c r="AX140" i="1"/>
  <c r="AX153" i="1"/>
  <c r="AW153" i="1"/>
  <c r="AV153" i="1"/>
  <c r="AX175" i="1"/>
  <c r="AW154" i="1"/>
  <c r="AV154" i="1"/>
  <c r="AX154" i="1"/>
  <c r="AW337" i="1"/>
  <c r="AX155" i="1"/>
  <c r="AW155" i="1"/>
  <c r="AV155" i="1"/>
  <c r="AV156" i="1"/>
  <c r="AX156" i="1"/>
  <c r="AW156" i="1"/>
  <c r="AX157" i="1"/>
  <c r="AV157" i="1"/>
  <c r="AW157" i="1"/>
  <c r="AV158" i="1"/>
  <c r="AW158" i="1"/>
  <c r="AX158" i="1"/>
  <c r="AV159" i="1"/>
  <c r="AW159" i="1"/>
  <c r="AX159" i="1"/>
  <c r="AX160" i="1"/>
  <c r="AW160" i="1"/>
  <c r="AV160" i="1"/>
  <c r="AV161" i="1"/>
  <c r="AX161" i="1"/>
  <c r="AX337" i="1"/>
  <c r="AW161" i="1"/>
  <c r="AV176" i="1"/>
  <c r="AW176" i="1"/>
  <c r="AX176" i="1"/>
  <c r="AX177" i="1"/>
  <c r="AW177" i="1"/>
  <c r="AV177" i="1"/>
  <c r="AV178" i="1"/>
  <c r="AW178" i="1"/>
  <c r="AX178" i="1"/>
  <c r="AW179" i="1"/>
  <c r="AX179" i="1"/>
  <c r="AV179" i="1"/>
  <c r="AV180" i="1"/>
  <c r="AW180" i="1"/>
  <c r="AX180" i="1"/>
  <c r="AX181" i="1"/>
  <c r="AW181" i="1"/>
  <c r="AV181" i="1"/>
  <c r="AX182" i="1"/>
  <c r="AW182" i="1"/>
  <c r="AV182" i="1"/>
  <c r="AX183" i="1"/>
  <c r="AW183" i="1"/>
  <c r="AV183" i="1"/>
  <c r="AX184" i="1"/>
  <c r="AV184" i="1"/>
  <c r="AW184" i="1"/>
  <c r="AV185" i="1"/>
  <c r="AW185" i="1"/>
  <c r="AX185" i="1"/>
  <c r="AV186" i="1"/>
  <c r="AW186" i="1"/>
  <c r="AX186" i="1"/>
  <c r="AV187" i="1"/>
  <c r="AW187" i="1"/>
  <c r="AX187" i="1"/>
  <c r="AV188" i="1"/>
  <c r="AW188" i="1"/>
  <c r="AX188" i="1"/>
  <c r="AX189" i="1"/>
  <c r="AV189" i="1"/>
  <c r="AW189" i="1"/>
  <c r="AV190" i="1"/>
  <c r="AV338" i="1"/>
  <c r="AW190" i="1"/>
  <c r="AX190" i="1"/>
  <c r="AV191" i="1"/>
  <c r="AX191" i="1"/>
  <c r="AW191" i="1"/>
  <c r="AV192" i="1"/>
  <c r="AW192" i="1"/>
  <c r="AX192" i="1"/>
  <c r="AX193" i="1"/>
  <c r="AW193" i="1"/>
  <c r="AV193" i="1"/>
  <c r="AV194" i="1"/>
  <c r="AW194" i="1"/>
  <c r="AX194" i="1"/>
  <c r="AW195" i="1"/>
  <c r="AX195" i="1"/>
  <c r="AV195" i="1"/>
  <c r="AX196" i="1"/>
  <c r="AW196" i="1"/>
  <c r="AV196" i="1"/>
  <c r="AW338" i="1"/>
  <c r="AX197" i="1"/>
  <c r="AW197" i="1"/>
  <c r="AV197" i="1"/>
  <c r="AV198" i="1"/>
  <c r="AW198" i="1"/>
  <c r="AX198" i="1"/>
  <c r="AX199" i="1"/>
  <c r="AV199" i="1"/>
  <c r="AW199" i="1"/>
  <c r="AV200" i="1"/>
  <c r="AW200" i="1"/>
  <c r="AX200" i="1"/>
  <c r="AX201" i="1"/>
  <c r="AW201" i="1"/>
  <c r="AV201" i="1"/>
  <c r="AX202" i="1"/>
  <c r="AW202" i="1"/>
  <c r="AV202" i="1"/>
  <c r="AW203" i="1"/>
  <c r="AX203" i="1"/>
  <c r="AV203" i="1"/>
  <c r="AV204" i="1"/>
  <c r="AW204" i="1"/>
  <c r="AX204" i="1"/>
  <c r="AX338" i="1"/>
  <c r="AV205" i="1"/>
  <c r="AX205" i="1"/>
  <c r="AW205" i="1"/>
  <c r="AX206" i="1"/>
  <c r="AW206" i="1"/>
  <c r="AV206" i="1"/>
  <c r="AX207" i="1"/>
  <c r="AW207" i="1"/>
  <c r="AV207" i="1"/>
  <c r="AX208" i="1"/>
  <c r="AV208" i="1"/>
  <c r="AW208" i="1"/>
  <c r="AX209" i="1"/>
  <c r="AW209" i="1"/>
  <c r="AV209" i="1"/>
  <c r="AV210" i="1"/>
  <c r="AX210" i="1"/>
  <c r="AW210" i="1"/>
  <c r="AX211" i="1"/>
  <c r="AW211" i="1"/>
  <c r="AV211" i="1"/>
  <c r="AX212" i="1"/>
  <c r="AW212" i="1"/>
  <c r="AV212" i="1"/>
  <c r="AX213" i="1"/>
  <c r="AW213" i="1"/>
  <c r="AV213" i="1"/>
  <c r="AV214" i="1"/>
  <c r="AW214" i="1"/>
  <c r="AX214" i="1"/>
  <c r="AX215" i="1"/>
  <c r="AW215" i="1"/>
  <c r="AV215" i="1"/>
  <c r="AX216" i="1"/>
  <c r="AW216" i="1"/>
  <c r="AV216" i="1"/>
  <c r="AX217" i="1"/>
  <c r="AW217" i="1"/>
  <c r="AV217" i="1"/>
  <c r="AX218" i="1"/>
  <c r="AW218" i="1"/>
  <c r="AV218" i="1"/>
  <c r="AV339" i="1"/>
  <c r="AV219" i="1"/>
  <c r="AW219" i="1"/>
  <c r="AX219" i="1"/>
  <c r="AV220" i="1"/>
  <c r="AW220" i="1"/>
  <c r="AX220" i="1"/>
  <c r="AX221" i="1"/>
  <c r="AW221" i="1"/>
  <c r="AV221" i="1"/>
  <c r="AX222" i="1"/>
  <c r="AV222" i="1"/>
  <c r="AW222" i="1"/>
  <c r="AV223" i="1"/>
  <c r="AW223" i="1"/>
  <c r="AX223" i="1"/>
  <c r="AW224" i="1"/>
  <c r="AV224" i="1"/>
  <c r="AX224" i="1"/>
  <c r="AW225" i="1"/>
  <c r="AV225" i="1"/>
  <c r="AX225" i="1"/>
  <c r="AV226" i="1"/>
  <c r="AW226" i="1"/>
  <c r="AX226" i="1"/>
  <c r="AX227" i="1"/>
  <c r="AV227" i="1"/>
  <c r="AW227" i="1"/>
  <c r="AX228" i="1"/>
  <c r="AW228" i="1"/>
  <c r="AV228" i="1"/>
  <c r="AW229" i="1"/>
  <c r="AX229" i="1"/>
  <c r="AW339" i="1"/>
  <c r="AV229" i="1"/>
  <c r="AW230" i="1"/>
  <c r="AV230" i="1"/>
  <c r="AX230" i="1"/>
  <c r="AW231" i="1"/>
  <c r="AV231" i="1"/>
  <c r="AX231" i="1"/>
  <c r="AX232" i="1"/>
  <c r="AW232" i="1"/>
  <c r="AV232" i="1"/>
  <c r="AX233" i="1"/>
  <c r="AV233" i="1"/>
  <c r="AW233" i="1"/>
  <c r="AW234" i="1"/>
  <c r="AX234" i="1"/>
  <c r="AV234" i="1"/>
  <c r="AX235" i="1"/>
  <c r="AW235" i="1"/>
  <c r="AV235" i="1"/>
  <c r="AX236" i="1"/>
  <c r="AW236" i="1"/>
  <c r="AV236" i="1"/>
  <c r="AV237" i="1"/>
  <c r="AW237" i="1"/>
  <c r="AX237" i="1"/>
  <c r="AX339" i="1"/>
  <c r="AW238" i="1"/>
  <c r="AV238" i="1"/>
  <c r="AX238" i="1"/>
  <c r="AV239" i="1"/>
  <c r="AW239" i="1"/>
  <c r="AX239" i="1"/>
  <c r="AW240" i="1"/>
  <c r="AX240" i="1"/>
  <c r="AV240" i="1"/>
  <c r="AX241" i="1"/>
  <c r="AW241" i="1"/>
  <c r="AV241" i="1"/>
  <c r="AV242" i="1"/>
  <c r="AW242" i="1"/>
  <c r="AX242" i="1"/>
  <c r="AV243" i="1"/>
  <c r="AX243" i="1"/>
  <c r="AX244" i="1"/>
  <c r="AV244" i="1"/>
  <c r="AW244" i="1"/>
  <c r="AX245" i="1"/>
  <c r="AW245" i="1"/>
  <c r="AV245" i="1"/>
  <c r="AX246" i="1"/>
  <c r="AW246" i="1"/>
  <c r="AV246" i="1"/>
  <c r="AX247" i="1"/>
  <c r="AW247" i="1"/>
  <c r="AV247" i="1"/>
  <c r="AW248" i="1"/>
  <c r="AX248" i="1"/>
  <c r="AV248" i="1"/>
  <c r="AW249" i="1"/>
  <c r="AV249" i="1"/>
  <c r="AX249" i="1"/>
  <c r="AW250" i="1"/>
  <c r="AX250" i="1"/>
  <c r="AV250" i="1"/>
  <c r="AV251" i="1"/>
  <c r="AV340" i="1"/>
  <c r="AW243" i="1"/>
  <c r="AX251" i="1"/>
  <c r="AW251" i="1"/>
  <c r="AX252" i="1"/>
  <c r="AW252" i="1"/>
  <c r="AV252" i="1"/>
  <c r="AV253" i="1"/>
  <c r="AW253" i="1"/>
  <c r="AX253" i="1"/>
  <c r="AX254" i="1"/>
  <c r="AV254" i="1"/>
  <c r="AW254" i="1"/>
  <c r="AW255" i="1"/>
  <c r="AX255" i="1"/>
  <c r="AV255" i="1"/>
  <c r="AW256" i="1"/>
  <c r="AV256" i="1"/>
  <c r="AX256" i="1"/>
  <c r="AX257" i="1"/>
  <c r="AW257" i="1"/>
  <c r="AV257" i="1"/>
  <c r="AX258" i="1"/>
  <c r="AW258" i="1"/>
  <c r="AV258" i="1"/>
  <c r="AV259" i="1"/>
  <c r="AW259" i="1"/>
  <c r="AX259" i="1"/>
  <c r="AW340" i="1"/>
  <c r="AX260" i="1"/>
  <c r="AV260" i="1"/>
  <c r="AW260" i="1"/>
  <c r="AV261" i="1"/>
  <c r="AW261" i="1"/>
  <c r="AX261" i="1"/>
  <c r="AV262" i="1"/>
  <c r="AW262" i="1"/>
  <c r="AX262" i="1"/>
  <c r="AX263" i="1"/>
  <c r="AW263" i="1"/>
  <c r="AV263" i="1"/>
  <c r="AV264" i="1"/>
  <c r="AW264" i="1"/>
  <c r="AX264" i="1"/>
  <c r="AX265" i="1"/>
  <c r="AW265" i="1"/>
  <c r="AV265" i="1"/>
  <c r="AV266" i="1"/>
  <c r="AW266" i="1"/>
  <c r="AX266" i="1"/>
  <c r="AV267" i="1"/>
  <c r="AW267" i="1"/>
  <c r="AX267" i="1"/>
  <c r="AX268" i="1"/>
  <c r="AW268" i="1"/>
  <c r="AV268" i="1"/>
  <c r="AV269" i="1"/>
  <c r="AX269" i="1"/>
  <c r="AX340" i="1"/>
  <c r="AW269" i="1"/>
  <c r="AV270" i="1"/>
  <c r="AW270" i="1"/>
  <c r="AX270" i="1"/>
  <c r="AX271" i="1"/>
  <c r="AV271" i="1"/>
  <c r="AW271" i="1"/>
  <c r="AX272" i="1"/>
  <c r="AW272" i="1"/>
  <c r="AV272" i="1"/>
  <c r="AV273" i="1"/>
  <c r="AX273" i="1"/>
  <c r="AW273" i="1"/>
  <c r="AV274" i="1"/>
  <c r="AW274" i="1"/>
  <c r="AX274" i="1"/>
  <c r="AV275" i="1"/>
  <c r="AW275" i="1"/>
  <c r="AX275" i="1"/>
  <c r="AV276" i="1"/>
  <c r="AW276" i="1"/>
  <c r="AX276" i="1"/>
  <c r="AX277" i="1"/>
  <c r="AW277" i="1"/>
  <c r="AV277" i="1"/>
  <c r="AX278" i="1"/>
  <c r="AV278" i="1"/>
  <c r="AW278" i="1"/>
  <c r="AV279" i="1"/>
  <c r="AW279" i="1"/>
  <c r="AX279" i="1"/>
  <c r="AX280" i="1"/>
  <c r="AW280" i="1"/>
  <c r="AV280" i="1"/>
  <c r="AW281" i="1"/>
  <c r="AV281" i="1"/>
  <c r="AX281" i="1"/>
  <c r="AV282" i="1"/>
  <c r="AW282" i="1"/>
  <c r="AX282" i="1"/>
  <c r="AX283" i="1"/>
  <c r="AV283" i="1"/>
  <c r="AW283" i="1"/>
  <c r="AV284" i="1"/>
  <c r="AX284" i="1"/>
  <c r="AW284" i="1"/>
  <c r="AV285" i="1"/>
  <c r="AX285" i="1"/>
  <c r="AW285" i="1"/>
  <c r="AX286" i="1"/>
  <c r="AW286" i="1"/>
  <c r="AV341" i="1"/>
  <c r="AV286" i="1"/>
  <c r="AX287" i="1"/>
  <c r="AW287" i="1"/>
  <c r="AV287" i="1"/>
  <c r="AX288" i="1"/>
  <c r="AV288" i="1"/>
  <c r="AW288" i="1"/>
  <c r="AX289" i="1"/>
  <c r="AW289" i="1"/>
  <c r="AV289" i="1"/>
  <c r="AW290" i="1"/>
  <c r="AX290" i="1"/>
  <c r="AV290" i="1"/>
  <c r="AX291" i="1"/>
  <c r="AW291" i="1"/>
  <c r="AV291" i="1"/>
  <c r="AX292" i="1"/>
  <c r="AV292" i="1"/>
  <c r="AW292" i="1"/>
  <c r="AX293" i="1"/>
  <c r="AV293" i="1"/>
  <c r="AW293" i="1"/>
  <c r="AV294" i="1"/>
  <c r="AX294" i="1"/>
  <c r="AW294" i="1"/>
  <c r="AX295" i="1"/>
  <c r="AW295" i="1"/>
  <c r="AV295" i="1"/>
  <c r="AY295" i="1" s="1"/>
  <c r="AW296" i="1"/>
  <c r="AV296" i="1"/>
  <c r="AX296" i="1"/>
  <c r="AX297" i="1"/>
  <c r="AW297" i="1"/>
  <c r="AV297" i="1"/>
  <c r="AY297" i="1" s="1"/>
  <c r="AW298" i="1"/>
  <c r="AX298" i="1"/>
  <c r="AV298" i="1"/>
  <c r="AY298" i="1" s="1"/>
  <c r="AX299" i="1"/>
  <c r="AW299" i="1"/>
  <c r="AV299" i="1"/>
  <c r="AY299" i="1" s="1"/>
  <c r="AV300" i="1"/>
  <c r="AW300" i="1"/>
  <c r="AX300" i="1"/>
  <c r="AW341" i="1"/>
  <c r="AV301" i="1"/>
  <c r="AW301" i="1"/>
  <c r="AX301" i="1"/>
  <c r="AV302" i="1"/>
  <c r="AX302" i="1"/>
  <c r="AW302" i="1"/>
  <c r="AV303" i="1"/>
  <c r="AW303" i="1"/>
  <c r="AX303" i="1"/>
  <c r="AV304" i="1"/>
  <c r="AW304" i="1"/>
  <c r="AX304" i="1"/>
  <c r="AX305" i="1"/>
  <c r="AW305" i="1"/>
  <c r="AV305" i="1"/>
  <c r="AY305" i="1" s="1"/>
  <c r="AV306" i="1"/>
  <c r="AW306" i="1"/>
  <c r="AX306" i="1"/>
  <c r="AX307" i="1"/>
  <c r="AW307" i="1"/>
  <c r="AV307" i="1"/>
  <c r="AY307" i="1" s="1"/>
  <c r="AX308" i="1"/>
  <c r="AW308" i="1"/>
  <c r="AV308" i="1"/>
  <c r="AY308" i="1" s="1"/>
  <c r="AW309" i="1"/>
  <c r="AV309" i="1"/>
  <c r="AX309" i="1"/>
  <c r="AV310" i="1"/>
  <c r="AW310" i="1"/>
  <c r="AX310" i="1"/>
  <c r="AX311" i="1"/>
  <c r="AW311" i="1"/>
  <c r="AV311" i="1"/>
  <c r="AY311" i="1" s="1"/>
  <c r="AX341" i="1"/>
  <c r="AV312" i="1"/>
  <c r="AW312" i="1"/>
  <c r="AX312" i="1"/>
  <c r="AV313" i="1"/>
  <c r="AW313" i="1"/>
  <c r="AX313" i="1"/>
  <c r="AX314" i="1"/>
  <c r="AW314" i="1"/>
  <c r="AV314" i="1"/>
  <c r="AY314" i="1" s="1"/>
  <c r="AV315" i="1"/>
  <c r="AW315" i="1"/>
  <c r="AX315" i="1"/>
  <c r="AV316" i="1"/>
  <c r="AX316" i="1"/>
  <c r="AW316" i="1"/>
  <c r="AV317" i="1"/>
  <c r="AW317" i="1"/>
  <c r="AX317" i="1"/>
  <c r="AV318" i="1"/>
  <c r="AW318" i="1"/>
  <c r="AX318" i="1"/>
  <c r="AX319" i="1"/>
  <c r="AW319" i="1"/>
  <c r="AV319" i="1"/>
  <c r="AY319" i="1" s="1"/>
  <c r="AX320" i="1"/>
  <c r="AV320" i="1"/>
  <c r="AW320" i="1"/>
  <c r="AW321" i="1"/>
  <c r="AV321" i="1"/>
  <c r="AX321" i="1"/>
  <c r="AX342" i="1"/>
  <c r="AW342" i="1"/>
  <c r="AV342" i="1"/>
  <c r="AW343" i="1"/>
  <c r="AX343" i="1"/>
  <c r="AV343" i="1"/>
  <c r="AX344" i="1"/>
  <c r="AV344" i="1"/>
  <c r="AW344" i="1"/>
  <c r="AW345" i="1"/>
  <c r="AX345" i="1"/>
  <c r="AV345" i="1"/>
  <c r="AV346" i="1"/>
  <c r="AW346" i="1"/>
  <c r="AX346" i="1"/>
  <c r="AV347" i="1"/>
  <c r="AW347" i="1"/>
  <c r="AX347" i="1"/>
  <c r="AX348" i="1"/>
  <c r="AV348" i="1"/>
  <c r="AW348" i="1"/>
  <c r="AW349" i="1"/>
  <c r="AV349" i="1"/>
  <c r="AX349" i="1"/>
  <c r="AX350" i="1"/>
  <c r="AV350" i="1"/>
  <c r="AW350" i="1"/>
  <c r="AV351" i="1"/>
  <c r="AW351" i="1"/>
  <c r="AX351" i="1"/>
  <c r="AX352" i="1"/>
  <c r="AV352" i="1"/>
  <c r="AW352" i="1"/>
  <c r="AX353" i="1"/>
  <c r="AW353" i="1"/>
  <c r="AV353" i="1"/>
  <c r="AX354" i="1"/>
  <c r="AW354" i="1"/>
  <c r="AV354" i="1"/>
  <c r="AV355" i="1"/>
  <c r="AX355" i="1"/>
  <c r="AW355" i="1"/>
  <c r="AW356" i="1"/>
  <c r="AX356" i="1"/>
  <c r="AV356" i="1"/>
  <c r="AX357" i="1"/>
  <c r="AW357" i="1"/>
  <c r="AV357" i="1"/>
  <c r="AX358" i="1"/>
  <c r="AW358" i="1"/>
  <c r="AV358" i="1"/>
  <c r="AV359" i="1"/>
  <c r="AX359" i="1"/>
  <c r="AW359" i="1"/>
  <c r="AW360" i="1"/>
  <c r="AV360" i="1"/>
  <c r="AX360" i="1"/>
  <c r="AX361" i="1"/>
  <c r="AW361" i="1"/>
  <c r="AV361" i="1"/>
  <c r="AX362" i="1"/>
  <c r="AV362" i="1"/>
  <c r="AW362" i="1"/>
  <c r="AX363" i="1"/>
  <c r="AW363" i="1"/>
  <c r="AV363" i="1"/>
  <c r="AX364" i="1"/>
  <c r="AW364" i="1"/>
  <c r="AV364" i="1"/>
  <c r="AX365" i="1"/>
  <c r="AW365" i="1"/>
  <c r="AV365" i="1"/>
  <c r="AX366" i="1"/>
  <c r="AW366" i="1"/>
  <c r="AV366" i="1"/>
  <c r="AV367" i="1"/>
  <c r="AX367" i="1"/>
  <c r="AW367" i="1"/>
  <c r="AW368" i="1"/>
  <c r="AX368" i="1"/>
  <c r="AV368" i="1"/>
  <c r="AW369" i="1"/>
  <c r="AX369" i="1"/>
  <c r="AV369" i="1"/>
  <c r="AV370" i="1"/>
  <c r="AW370" i="1"/>
  <c r="AX370" i="1"/>
  <c r="AV371" i="1"/>
  <c r="AW371" i="1"/>
  <c r="AX371" i="1"/>
  <c r="AX372" i="1"/>
  <c r="AW372" i="1"/>
  <c r="AV372" i="1"/>
  <c r="AV373" i="1"/>
  <c r="AX373" i="1"/>
  <c r="AW373" i="1"/>
  <c r="AV374" i="1"/>
  <c r="AX374" i="1"/>
  <c r="AW374" i="1"/>
  <c r="AX375" i="1"/>
  <c r="AW375" i="1"/>
  <c r="AV375" i="1"/>
  <c r="AW376" i="1"/>
  <c r="AV376" i="1"/>
  <c r="AX376" i="1"/>
  <c r="AX377" i="1"/>
  <c r="AW377" i="1"/>
  <c r="AV377" i="1"/>
  <c r="AV378" i="1"/>
  <c r="AW378" i="1"/>
  <c r="AX378" i="1"/>
  <c r="AX379" i="1"/>
  <c r="AV379" i="1"/>
  <c r="AW379" i="1"/>
  <c r="AX380" i="1"/>
  <c r="AW380" i="1"/>
  <c r="AV380" i="1"/>
  <c r="AV381" i="1"/>
  <c r="AW381" i="1"/>
  <c r="AX381" i="1"/>
  <c r="AV382" i="1"/>
  <c r="AW382" i="1"/>
  <c r="AX382" i="1"/>
  <c r="AW383" i="1"/>
  <c r="AV383" i="1"/>
  <c r="AX383" i="1"/>
  <c r="AW384" i="1"/>
  <c r="AX384" i="1"/>
  <c r="AV384" i="1"/>
  <c r="AX385" i="1"/>
  <c r="AW385" i="1"/>
  <c r="AV385" i="1"/>
  <c r="AX386" i="1"/>
  <c r="AV386" i="1"/>
  <c r="AW386" i="1"/>
  <c r="AV387" i="1"/>
  <c r="AW387" i="1"/>
  <c r="AX387" i="1"/>
  <c r="AV388" i="1"/>
  <c r="AX388" i="1"/>
  <c r="AW388" i="1"/>
  <c r="AX389" i="1"/>
  <c r="AV389" i="1"/>
  <c r="AW389" i="1"/>
  <c r="AZ86" i="1"/>
  <c r="G86" i="2" s="1"/>
  <c r="AZ91" i="1"/>
  <c r="G91" i="2" s="1"/>
  <c r="AZ95" i="1"/>
  <c r="G95" i="2" s="1"/>
  <c r="AZ97" i="1"/>
  <c r="G97" i="2" s="1"/>
  <c r="AZ99" i="1"/>
  <c r="G99" i="2" s="1"/>
  <c r="AZ100" i="1"/>
  <c r="G100" i="2" s="1"/>
  <c r="AZ103" i="1"/>
  <c r="G103" i="2" s="1"/>
  <c r="AZ130" i="1"/>
  <c r="G130" i="2" s="1"/>
  <c r="AZ162" i="1"/>
  <c r="G162" i="2" s="1"/>
  <c r="AZ295" i="1"/>
  <c r="G295" i="2" s="1"/>
  <c r="AZ297" i="1"/>
  <c r="G297" i="2" s="1"/>
  <c r="AZ298" i="1"/>
  <c r="G298" i="2" s="1"/>
  <c r="AZ299" i="1"/>
  <c r="G299" i="2" s="1"/>
  <c r="AZ305" i="1"/>
  <c r="G305" i="2" s="1"/>
  <c r="AZ307" i="1"/>
  <c r="G307" i="2" s="1"/>
  <c r="AZ308" i="1"/>
  <c r="G308" i="2" s="1"/>
  <c r="AZ311" i="1"/>
  <c r="G311" i="2" s="1"/>
  <c r="AZ314" i="1"/>
  <c r="G314" i="2" s="1"/>
  <c r="AZ319" i="1"/>
  <c r="G319" i="2" s="1"/>
  <c r="AZ323" i="1"/>
  <c r="G323" i="2" s="1"/>
  <c r="AZ324" i="1"/>
  <c r="G324" i="2" s="1"/>
  <c r="G2" i="2"/>
  <c r="F369" i="2"/>
  <c r="F388" i="2" l="1"/>
  <c r="F389" i="2"/>
  <c r="F370" i="2"/>
  <c r="F371" i="2"/>
  <c r="F372" i="2"/>
  <c r="F373" i="2"/>
  <c r="F374" i="2"/>
  <c r="F375" i="2"/>
  <c r="F376" i="2"/>
  <c r="F377" i="2"/>
  <c r="AY108" i="1"/>
  <c r="AZ108" i="1"/>
  <c r="G108" i="2" s="1"/>
  <c r="AY49" i="1"/>
  <c r="AZ49" i="1" s="1"/>
  <c r="G49" i="2" s="1"/>
  <c r="AY55" i="1"/>
  <c r="AZ55" i="1" s="1"/>
  <c r="G55" i="2" s="1"/>
  <c r="AY40" i="1"/>
  <c r="AZ40" i="1"/>
  <c r="G40" i="2" s="1"/>
  <c r="AY48" i="1"/>
  <c r="AZ48" i="1" s="1"/>
  <c r="G48" i="2" s="1"/>
  <c r="AY50" i="1"/>
  <c r="AZ50" i="1"/>
  <c r="G50" i="2" s="1"/>
  <c r="AY110" i="1"/>
  <c r="AZ110" i="1" s="1"/>
  <c r="G110" i="2" s="1"/>
  <c r="AY127" i="1"/>
  <c r="AZ127" i="1"/>
  <c r="G127" i="2" s="1"/>
  <c r="AY135" i="1"/>
  <c r="AZ135" i="1"/>
  <c r="G135" i="2" s="1"/>
  <c r="AY137" i="1"/>
  <c r="AZ137" i="1"/>
  <c r="G137" i="2" s="1"/>
  <c r="AY138" i="1"/>
  <c r="AZ138" i="1"/>
  <c r="G138" i="2" s="1"/>
  <c r="AY148" i="1"/>
  <c r="AZ148" i="1"/>
  <c r="G148" i="2" s="1"/>
  <c r="AY149" i="1"/>
  <c r="AZ149" i="1"/>
  <c r="G149" i="2" s="1"/>
  <c r="AY153" i="1"/>
  <c r="AZ153" i="1"/>
  <c r="G153" i="2" s="1"/>
  <c r="AY196" i="1"/>
  <c r="AZ196" i="1"/>
  <c r="G196" i="2" s="1"/>
  <c r="AY290" i="1"/>
  <c r="AZ290" i="1"/>
  <c r="G290" i="2" s="1"/>
  <c r="AY291" i="1"/>
  <c r="AZ291" i="1"/>
  <c r="G291" i="2" s="1"/>
  <c r="AY51" i="1"/>
  <c r="AZ51" i="1" s="1"/>
  <c r="G51" i="2" s="1"/>
  <c r="AY52" i="1"/>
  <c r="AZ52" i="1" s="1"/>
  <c r="G52" i="2" s="1"/>
  <c r="AY65" i="1"/>
  <c r="AZ65" i="1" s="1"/>
  <c r="G65" i="2" s="1"/>
  <c r="AY75" i="1"/>
  <c r="AZ75" i="1" s="1"/>
  <c r="G75" i="2" s="1"/>
  <c r="AY27" i="1"/>
  <c r="AZ27" i="1" s="1"/>
  <c r="G27" i="2" s="1"/>
  <c r="AY124" i="1"/>
  <c r="AZ124" i="1" s="1"/>
  <c r="G124" i="2" s="1"/>
  <c r="AY22" i="1"/>
  <c r="AZ22" i="1"/>
  <c r="G22" i="2" s="1"/>
  <c r="AY28" i="1"/>
  <c r="AZ28" i="1"/>
  <c r="G28" i="2" s="1"/>
  <c r="AY30" i="1"/>
  <c r="AZ30" i="1"/>
  <c r="G30" i="2" s="1"/>
  <c r="AY35" i="1"/>
  <c r="AZ35" i="1"/>
  <c r="G35" i="2" s="1"/>
  <c r="AY37" i="1"/>
  <c r="AZ37" i="1"/>
  <c r="G37" i="2" s="1"/>
  <c r="AY72" i="1"/>
  <c r="AZ72" i="1"/>
  <c r="G72" i="2" s="1"/>
  <c r="AY81" i="1"/>
  <c r="AZ81" i="1"/>
  <c r="G81" i="2" s="1"/>
  <c r="AY112" i="1"/>
  <c r="AZ112" i="1"/>
  <c r="G112" i="2" s="1"/>
  <c r="AY114" i="1"/>
  <c r="AZ114" i="1"/>
  <c r="G114" i="2" s="1"/>
  <c r="AY120" i="1"/>
  <c r="AZ120" i="1"/>
  <c r="G120" i="2" s="1"/>
  <c r="AY123" i="1"/>
  <c r="AZ123" i="1"/>
  <c r="G123" i="2" s="1"/>
  <c r="AY179" i="1"/>
  <c r="AZ179" i="1"/>
  <c r="G179" i="2" s="1"/>
  <c r="AY182" i="1"/>
  <c r="AZ182" i="1"/>
  <c r="G182" i="2" s="1"/>
  <c r="AY277" i="1"/>
  <c r="AZ277" i="1"/>
  <c r="G277" i="2" s="1"/>
  <c r="AY280" i="1"/>
  <c r="AZ280" i="1"/>
  <c r="G280" i="2" s="1"/>
  <c r="AY286" i="1"/>
  <c r="AZ286" i="1"/>
  <c r="G286" i="2" s="1"/>
  <c r="AY287" i="1"/>
  <c r="AZ287" i="1"/>
  <c r="G287" i="2" s="1"/>
  <c r="AY289" i="1"/>
  <c r="AZ289" i="1"/>
  <c r="G289" i="2" s="1"/>
  <c r="AY342" i="1"/>
  <c r="AZ342" i="1"/>
  <c r="G342" i="2" s="1"/>
  <c r="AY343" i="1"/>
  <c r="AZ343" i="1"/>
  <c r="G343" i="2" s="1"/>
  <c r="AY345" i="1"/>
  <c r="AZ345" i="1"/>
  <c r="G345" i="2" s="1"/>
  <c r="AY113" i="1"/>
  <c r="AZ113" i="1" s="1"/>
  <c r="G113" i="2" s="1"/>
  <c r="AY154" i="1"/>
  <c r="AZ154" i="1" s="1"/>
  <c r="G154" i="2" s="1"/>
  <c r="AY156" i="1"/>
  <c r="AZ156" i="1" s="1"/>
  <c r="G156" i="2" s="1"/>
  <c r="AY158" i="1"/>
  <c r="AZ158" i="1" s="1"/>
  <c r="G158" i="2" s="1"/>
  <c r="AY186" i="1"/>
  <c r="AZ186" i="1" s="1"/>
  <c r="G186" i="2" s="1"/>
  <c r="AY200" i="1"/>
  <c r="AZ200" i="1" s="1"/>
  <c r="G200" i="2" s="1"/>
  <c r="AY204" i="1"/>
  <c r="AZ204" i="1" s="1"/>
  <c r="G204" i="2" s="1"/>
  <c r="AY220" i="1"/>
  <c r="AZ220" i="1" s="1"/>
  <c r="G220" i="2" s="1"/>
  <c r="AY222" i="1"/>
  <c r="AZ222" i="1" s="1"/>
  <c r="G222" i="2" s="1"/>
  <c r="AY224" i="1"/>
  <c r="AZ224" i="1" s="1"/>
  <c r="G224" i="2" s="1"/>
  <c r="AY240" i="1"/>
  <c r="AZ240" i="1" s="1"/>
  <c r="G240" i="2" s="1"/>
  <c r="AY258" i="1"/>
  <c r="AZ258" i="1" s="1"/>
  <c r="G258" i="2" s="1"/>
  <c r="AY260" i="1"/>
  <c r="AZ260" i="1" s="1"/>
  <c r="G260" i="2" s="1"/>
  <c r="AY271" i="1"/>
  <c r="AZ271" i="1" s="1"/>
  <c r="G271" i="2" s="1"/>
  <c r="AY369" i="1"/>
  <c r="AZ369" i="1" s="1"/>
  <c r="G369" i="2" s="1"/>
  <c r="AY380" i="1"/>
  <c r="AZ380" i="1" s="1"/>
  <c r="G380" i="2" s="1"/>
  <c r="AY125" i="1"/>
  <c r="AZ125" i="1" s="1"/>
  <c r="G125" i="2" s="1"/>
  <c r="AY126" i="1"/>
  <c r="AZ126" i="1" s="1"/>
  <c r="G126" i="2" s="1"/>
  <c r="AY128" i="1"/>
  <c r="AZ128" i="1" s="1"/>
  <c r="G128" i="2" s="1"/>
  <c r="AY129" i="1"/>
  <c r="AZ129" i="1" s="1"/>
  <c r="G129" i="2" s="1"/>
  <c r="AY174" i="1"/>
  <c r="AZ174" i="1" s="1"/>
  <c r="G174" i="2" s="1"/>
  <c r="AY131" i="1"/>
  <c r="AZ131" i="1" s="1"/>
  <c r="G131" i="2" s="1"/>
  <c r="AY132" i="1"/>
  <c r="AZ132" i="1" s="1"/>
  <c r="G132" i="2" s="1"/>
  <c r="AY133" i="1"/>
  <c r="AZ133" i="1" s="1"/>
  <c r="G133" i="2" s="1"/>
  <c r="AY336" i="1"/>
  <c r="AZ336" i="1" s="1"/>
  <c r="G336" i="2" s="1"/>
  <c r="AY134" i="1"/>
  <c r="AZ134" i="1" s="1"/>
  <c r="G134" i="2" s="1"/>
  <c r="AY136" i="1"/>
  <c r="AZ136" i="1" s="1"/>
  <c r="G136" i="2" s="1"/>
  <c r="AY139" i="1"/>
  <c r="AZ139" i="1" s="1"/>
  <c r="G139" i="2" s="1"/>
  <c r="AY140" i="1"/>
  <c r="AZ140" i="1" s="1"/>
  <c r="G140" i="2" s="1"/>
  <c r="AY141" i="1"/>
  <c r="AZ141" i="1" s="1"/>
  <c r="G141" i="2" s="1"/>
  <c r="AY142" i="1"/>
  <c r="AZ142" i="1" s="1"/>
  <c r="G142" i="2" s="1"/>
  <c r="AY143" i="1"/>
  <c r="AZ143" i="1" s="1"/>
  <c r="G143" i="2" s="1"/>
  <c r="AY144" i="1"/>
  <c r="AZ144" i="1" s="1"/>
  <c r="G144" i="2" s="1"/>
  <c r="AY145" i="1"/>
  <c r="AZ145" i="1" s="1"/>
  <c r="G145" i="2" s="1"/>
  <c r="AY146" i="1"/>
  <c r="AZ146" i="1" s="1"/>
  <c r="G146" i="2" s="1"/>
  <c r="AY147" i="1"/>
  <c r="AZ147" i="1" s="1"/>
  <c r="G147" i="2" s="1"/>
  <c r="AY175" i="1"/>
  <c r="AZ175" i="1" s="1"/>
  <c r="G175" i="2" s="1"/>
  <c r="AY337" i="1"/>
  <c r="AZ337" i="1" s="1"/>
  <c r="G337" i="2" s="1"/>
  <c r="AY150" i="1"/>
  <c r="AZ150" i="1" s="1"/>
  <c r="G150" i="2" s="1"/>
  <c r="AY151" i="1"/>
  <c r="AZ151" i="1" s="1"/>
  <c r="G151" i="2" s="1"/>
  <c r="AY152" i="1"/>
  <c r="AZ152" i="1" s="1"/>
  <c r="G152" i="2" s="1"/>
  <c r="AY155" i="1"/>
  <c r="AZ155" i="1" s="1"/>
  <c r="G155" i="2" s="1"/>
  <c r="AY191" i="1"/>
  <c r="AZ191" i="1" s="1"/>
  <c r="G191" i="2" s="1"/>
  <c r="AY197" i="1"/>
  <c r="AZ197" i="1" s="1"/>
  <c r="G197" i="2" s="1"/>
  <c r="AY199" i="1"/>
  <c r="AZ199" i="1" s="1"/>
  <c r="G199" i="2" s="1"/>
  <c r="AY201" i="1"/>
  <c r="AZ201" i="1" s="1"/>
  <c r="G201" i="2" s="1"/>
  <c r="AY203" i="1"/>
  <c r="AZ203" i="1" s="1"/>
  <c r="G203" i="2" s="1"/>
  <c r="AY207" i="1"/>
  <c r="AZ207" i="1" s="1"/>
  <c r="G207" i="2" s="1"/>
  <c r="AY339" i="1"/>
  <c r="AZ339" i="1" s="1"/>
  <c r="G339" i="2" s="1"/>
  <c r="AY225" i="1"/>
  <c r="AZ225" i="1" s="1"/>
  <c r="G225" i="2" s="1"/>
  <c r="AY227" i="1"/>
  <c r="AZ227" i="1" s="1"/>
  <c r="G227" i="2" s="1"/>
  <c r="AY237" i="1"/>
  <c r="AZ237" i="1" s="1"/>
  <c r="G237" i="2" s="1"/>
  <c r="AY267" i="1"/>
  <c r="AZ267" i="1" s="1"/>
  <c r="G267" i="2" s="1"/>
  <c r="AY269" i="1"/>
  <c r="AZ269" i="1" s="1"/>
  <c r="G269" i="2" s="1"/>
  <c r="AY368" i="1"/>
  <c r="AZ368" i="1" s="1"/>
  <c r="G368" i="2" s="1"/>
  <c r="AY371" i="1"/>
  <c r="AZ371" i="1" s="1"/>
  <c r="G371" i="2" s="1"/>
  <c r="AY373" i="1"/>
  <c r="AZ373" i="1" s="1"/>
  <c r="G373" i="2" s="1"/>
  <c r="AY375" i="1"/>
  <c r="AZ375" i="1" s="1"/>
  <c r="G375" i="2" s="1"/>
  <c r="AY378" i="1"/>
  <c r="AZ378" i="1" s="1"/>
  <c r="G378" i="2" s="1"/>
  <c r="AY383" i="1"/>
  <c r="AZ383" i="1" s="1"/>
  <c r="G383" i="2" s="1"/>
  <c r="AY385" i="1"/>
  <c r="AZ385" i="1" s="1"/>
  <c r="G385" i="2" s="1"/>
  <c r="AY388" i="1"/>
  <c r="AZ388" i="1" s="1"/>
  <c r="G388" i="2" s="1"/>
  <c r="AY276" i="1"/>
  <c r="AZ276" i="1" s="1"/>
  <c r="G276" i="2" s="1"/>
  <c r="AY278" i="1"/>
  <c r="AZ278" i="1" s="1"/>
  <c r="G278" i="2" s="1"/>
  <c r="AY279" i="1"/>
  <c r="AZ279" i="1" s="1"/>
  <c r="G279" i="2" s="1"/>
  <c r="AY281" i="1"/>
  <c r="AZ281" i="1" s="1"/>
  <c r="G281" i="2" s="1"/>
  <c r="AY282" i="1"/>
  <c r="AZ282" i="1" s="1"/>
  <c r="G282" i="2" s="1"/>
  <c r="AY283" i="1"/>
  <c r="AZ283" i="1" s="1"/>
  <c r="G283" i="2" s="1"/>
  <c r="AY284" i="1"/>
  <c r="AZ284" i="1" s="1"/>
  <c r="G284" i="2" s="1"/>
  <c r="AY285" i="1"/>
  <c r="AZ285" i="1" s="1"/>
  <c r="G285" i="2" s="1"/>
  <c r="AY341" i="1"/>
  <c r="AZ341" i="1" s="1"/>
  <c r="G341" i="2" s="1"/>
  <c r="AY288" i="1"/>
  <c r="AZ288" i="1" s="1"/>
  <c r="G288" i="2" s="1"/>
  <c r="AY292" i="1"/>
  <c r="AZ292" i="1" s="1"/>
  <c r="G292" i="2" s="1"/>
  <c r="AY293" i="1"/>
  <c r="AZ293" i="1" s="1"/>
  <c r="G293" i="2" s="1"/>
  <c r="AY294" i="1"/>
  <c r="AZ294" i="1" s="1"/>
  <c r="G294" i="2" s="1"/>
  <c r="AY296" i="1"/>
  <c r="AZ296" i="1" s="1"/>
  <c r="G296" i="2" s="1"/>
  <c r="AY300" i="1"/>
  <c r="AZ300" i="1" s="1"/>
  <c r="G300" i="2" s="1"/>
  <c r="AY301" i="1"/>
  <c r="AZ301" i="1" s="1"/>
  <c r="G301" i="2" s="1"/>
  <c r="AY302" i="1"/>
  <c r="AZ302" i="1" s="1"/>
  <c r="G302" i="2" s="1"/>
  <c r="AY303" i="1"/>
  <c r="AZ303" i="1" s="1"/>
  <c r="G303" i="2" s="1"/>
  <c r="AY304" i="1"/>
  <c r="AZ304" i="1" s="1"/>
  <c r="G304" i="2" s="1"/>
  <c r="AY306" i="1"/>
  <c r="AZ306" i="1" s="1"/>
  <c r="G306" i="2" s="1"/>
  <c r="AY309" i="1"/>
  <c r="AZ309" i="1" s="1"/>
  <c r="G309" i="2" s="1"/>
  <c r="AY310" i="1"/>
  <c r="AZ310" i="1" s="1"/>
  <c r="G310" i="2" s="1"/>
  <c r="AY312" i="1"/>
  <c r="AZ312" i="1" s="1"/>
  <c r="G312" i="2" s="1"/>
  <c r="AY313" i="1"/>
  <c r="AZ313" i="1" s="1"/>
  <c r="G313" i="2" s="1"/>
  <c r="AY315" i="1"/>
  <c r="AZ315" i="1" s="1"/>
  <c r="G315" i="2" s="1"/>
  <c r="AY316" i="1"/>
  <c r="AZ316" i="1" s="1"/>
  <c r="G316" i="2" s="1"/>
  <c r="AY317" i="1"/>
  <c r="AZ317" i="1" s="1"/>
  <c r="G317" i="2" s="1"/>
  <c r="AY318" i="1"/>
  <c r="AZ318" i="1" s="1"/>
  <c r="G318" i="2" s="1"/>
  <c r="AY320" i="1"/>
  <c r="AZ320" i="1" s="1"/>
  <c r="G320" i="2" s="1"/>
  <c r="AY321" i="1"/>
  <c r="AZ321" i="1" s="1"/>
  <c r="G321" i="2" s="1"/>
  <c r="AY344" i="1"/>
  <c r="AZ344" i="1" s="1"/>
  <c r="G344" i="2" s="1"/>
  <c r="AY346" i="1"/>
  <c r="AZ346" i="1" s="1"/>
  <c r="G346" i="2" s="1"/>
  <c r="AY347" i="1"/>
  <c r="AZ347" i="1" s="1"/>
  <c r="G347" i="2" s="1"/>
  <c r="AY348" i="1"/>
  <c r="AZ348" i="1" s="1"/>
  <c r="G348" i="2" s="1"/>
  <c r="AY349" i="1"/>
  <c r="AZ349" i="1" s="1"/>
  <c r="G349" i="2" s="1"/>
  <c r="AY350" i="1"/>
  <c r="AZ350" i="1" s="1"/>
  <c r="G350" i="2" s="1"/>
  <c r="AY351" i="1"/>
  <c r="AZ351" i="1" s="1"/>
  <c r="G351" i="2" s="1"/>
  <c r="AY352" i="1"/>
  <c r="AZ352" i="1" s="1"/>
  <c r="G352" i="2" s="1"/>
  <c r="AY355" i="1"/>
  <c r="AZ355" i="1" s="1"/>
  <c r="G355" i="2" s="1"/>
  <c r="AY359" i="1"/>
  <c r="AZ359" i="1" s="1"/>
  <c r="G359" i="2" s="1"/>
  <c r="AY360" i="1"/>
  <c r="AZ360" i="1" s="1"/>
  <c r="G360" i="2" s="1"/>
  <c r="AY362" i="1"/>
  <c r="AZ362" i="1" s="1"/>
  <c r="G362" i="2" s="1"/>
  <c r="AY367" i="1"/>
  <c r="AZ367" i="1" s="1"/>
  <c r="G367" i="2" s="1"/>
  <c r="AY117" i="1"/>
  <c r="AZ117" i="1" s="1"/>
  <c r="G117" i="2" s="1"/>
  <c r="AY119" i="1"/>
  <c r="AZ119" i="1" s="1"/>
  <c r="G119" i="2" s="1"/>
  <c r="AY122" i="1"/>
  <c r="AZ122" i="1" s="1"/>
  <c r="G122" i="2" s="1"/>
  <c r="AY177" i="1"/>
  <c r="AZ177" i="1" s="1"/>
  <c r="G177" i="2" s="1"/>
  <c r="AY184" i="1"/>
  <c r="AZ184" i="1" s="1"/>
  <c r="G184" i="2" s="1"/>
  <c r="AY198" i="1"/>
  <c r="AZ198" i="1" s="1"/>
  <c r="G198" i="2" s="1"/>
  <c r="AY202" i="1"/>
  <c r="AZ202" i="1" s="1"/>
  <c r="G202" i="2" s="1"/>
  <c r="AY206" i="1"/>
  <c r="AZ206" i="1" s="1"/>
  <c r="G206" i="2" s="1"/>
  <c r="AY214" i="1"/>
  <c r="AZ214" i="1" s="1"/>
  <c r="G214" i="2" s="1"/>
  <c r="AY218" i="1"/>
  <c r="AZ218" i="1" s="1"/>
  <c r="G218" i="2" s="1"/>
  <c r="AY226" i="1"/>
  <c r="AZ226" i="1" s="1"/>
  <c r="G226" i="2" s="1"/>
  <c r="AY232" i="1"/>
  <c r="AZ232" i="1" s="1"/>
  <c r="G232" i="2" s="1"/>
  <c r="AY234" i="1"/>
  <c r="AZ234" i="1" s="1"/>
  <c r="G234" i="2" s="1"/>
  <c r="AY236" i="1"/>
  <c r="AZ236" i="1" s="1"/>
  <c r="G236" i="2" s="1"/>
  <c r="AY238" i="1"/>
  <c r="AZ238" i="1" s="1"/>
  <c r="G238" i="2" s="1"/>
  <c r="AY243" i="1"/>
  <c r="AZ243" i="1" s="1"/>
  <c r="G243" i="2" s="1"/>
  <c r="AY247" i="1"/>
  <c r="AZ247" i="1" s="1"/>
  <c r="G247" i="2" s="1"/>
  <c r="AY259" i="1"/>
  <c r="AZ259" i="1" s="1"/>
  <c r="G259" i="2" s="1"/>
  <c r="AY270" i="1"/>
  <c r="AZ270" i="1" s="1"/>
  <c r="G270" i="2" s="1"/>
  <c r="AY274" i="1"/>
  <c r="AZ274" i="1" s="1"/>
  <c r="G274" i="2" s="1"/>
  <c r="AY366" i="1"/>
  <c r="AZ366" i="1" s="1"/>
  <c r="G366" i="2" s="1"/>
  <c r="AY381" i="1"/>
  <c r="AZ381" i="1" s="1"/>
  <c r="G381" i="2" s="1"/>
  <c r="AY386" i="1"/>
  <c r="AZ386" i="1" s="1"/>
  <c r="G386" i="2" s="1"/>
  <c r="AY322" i="1"/>
  <c r="AZ322" i="1" s="1"/>
  <c r="G322" i="2" s="1"/>
  <c r="AY325" i="1"/>
  <c r="AZ325" i="1" s="1"/>
  <c r="G325" i="2" s="1"/>
  <c r="AY10" i="1"/>
  <c r="AZ10" i="1" s="1"/>
  <c r="G10" i="2" s="1"/>
  <c r="AY12" i="1"/>
  <c r="AZ12" i="1" s="1"/>
  <c r="G12" i="2" s="1"/>
  <c r="AY13" i="1"/>
  <c r="AZ13" i="1" s="1"/>
  <c r="G13" i="2" s="1"/>
  <c r="AY17" i="1"/>
  <c r="AZ17" i="1" s="1"/>
  <c r="G17" i="2" s="1"/>
  <c r="AY18" i="1"/>
  <c r="AZ18" i="1" s="1"/>
  <c r="G18" i="2" s="1"/>
  <c r="AY327" i="1"/>
  <c r="AZ327" i="1" s="1"/>
  <c r="G327" i="2" s="1"/>
  <c r="AY21" i="1"/>
  <c r="AZ21" i="1" s="1"/>
  <c r="G21" i="2" s="1"/>
  <c r="AY167" i="1"/>
  <c r="AZ167" i="1" s="1"/>
  <c r="G167" i="2" s="1"/>
  <c r="AY24" i="1"/>
  <c r="AZ24" i="1" s="1"/>
  <c r="G24" i="2" s="1"/>
  <c r="AY25" i="1"/>
  <c r="AZ25" i="1" s="1"/>
  <c r="G25" i="2" s="1"/>
  <c r="AY29" i="1"/>
  <c r="AZ29" i="1" s="1"/>
  <c r="G29" i="2" s="1"/>
  <c r="AY31" i="1"/>
  <c r="AZ31" i="1" s="1"/>
  <c r="G31" i="2" s="1"/>
  <c r="AY33" i="1"/>
  <c r="AZ33" i="1" s="1"/>
  <c r="G33" i="2" s="1"/>
  <c r="AY36" i="1"/>
  <c r="AZ36" i="1" s="1"/>
  <c r="G36" i="2" s="1"/>
  <c r="AY329" i="1"/>
  <c r="AZ329" i="1" s="1"/>
  <c r="G329" i="2" s="1"/>
  <c r="AY39" i="1"/>
  <c r="AZ39" i="1" s="1"/>
  <c r="G39" i="2" s="1"/>
  <c r="AY330" i="1"/>
  <c r="AZ330" i="1" s="1"/>
  <c r="G330" i="2" s="1"/>
  <c r="AY53" i="1"/>
  <c r="AZ53" i="1" s="1"/>
  <c r="G53" i="2" s="1"/>
  <c r="AY61" i="1"/>
  <c r="AZ61" i="1" s="1"/>
  <c r="G61" i="2" s="1"/>
  <c r="AY62" i="1"/>
  <c r="AZ62" i="1" s="1"/>
  <c r="G62" i="2" s="1"/>
  <c r="AY331" i="1"/>
  <c r="AZ331" i="1" s="1"/>
  <c r="G331" i="2" s="1"/>
  <c r="AY66" i="1"/>
  <c r="AZ66" i="1" s="1"/>
  <c r="G66" i="2" s="1"/>
  <c r="AY70" i="1"/>
  <c r="AZ70" i="1" s="1"/>
  <c r="G70" i="2" s="1"/>
  <c r="AY76" i="1"/>
  <c r="AZ76" i="1" s="1"/>
  <c r="G76" i="2" s="1"/>
  <c r="AY80" i="1"/>
  <c r="AZ80" i="1" s="1"/>
  <c r="G80" i="2" s="1"/>
  <c r="AY333" i="1"/>
  <c r="AZ333" i="1" s="1"/>
  <c r="G333" i="2" s="1"/>
  <c r="AY93" i="1"/>
  <c r="AZ93" i="1" s="1"/>
  <c r="G93" i="2" s="1"/>
  <c r="AY96" i="1"/>
  <c r="AZ96" i="1" s="1"/>
  <c r="G96" i="2" s="1"/>
  <c r="AY172" i="1"/>
  <c r="AZ172" i="1" s="1"/>
  <c r="G172" i="2" s="1"/>
  <c r="AY102" i="1"/>
  <c r="AZ102" i="1" s="1"/>
  <c r="G102" i="2" s="1"/>
  <c r="AY104" i="1"/>
  <c r="AZ104" i="1" s="1"/>
  <c r="G104" i="2" s="1"/>
  <c r="AY173" i="1"/>
  <c r="AZ173" i="1" s="1"/>
  <c r="G173" i="2" s="1"/>
  <c r="AY115" i="1"/>
  <c r="AZ115" i="1" s="1"/>
  <c r="G115" i="2" s="1"/>
  <c r="AY116" i="1"/>
  <c r="AZ116" i="1" s="1"/>
  <c r="G116" i="2" s="1"/>
  <c r="AY118" i="1"/>
  <c r="AZ118" i="1" s="1"/>
  <c r="G118" i="2" s="1"/>
  <c r="AY176" i="1"/>
  <c r="AZ176" i="1" s="1"/>
  <c r="G176" i="2" s="1"/>
  <c r="AY178" i="1"/>
  <c r="AZ178" i="1" s="1"/>
  <c r="G178" i="2" s="1"/>
  <c r="AY180" i="1"/>
  <c r="AZ180" i="1" s="1"/>
  <c r="G180" i="2" s="1"/>
  <c r="AY338" i="1"/>
  <c r="AZ338" i="1" s="1"/>
  <c r="G338" i="2" s="1"/>
  <c r="AY192" i="1"/>
  <c r="AZ192" i="1" s="1"/>
  <c r="G192" i="2" s="1"/>
  <c r="AY194" i="1"/>
  <c r="AZ194" i="1" s="1"/>
  <c r="G194" i="2" s="1"/>
  <c r="AY208" i="1"/>
  <c r="AZ208" i="1" s="1"/>
  <c r="G208" i="2" s="1"/>
  <c r="AY212" i="1"/>
  <c r="AZ212" i="1" s="1"/>
  <c r="G212" i="2" s="1"/>
  <c r="AY219" i="1"/>
  <c r="AZ219" i="1" s="1"/>
  <c r="G219" i="2" s="1"/>
  <c r="AY230" i="1"/>
  <c r="AZ230" i="1" s="1"/>
  <c r="G230" i="2" s="1"/>
  <c r="AY235" i="1"/>
  <c r="AZ235" i="1" s="1"/>
  <c r="G235" i="2" s="1"/>
  <c r="AY242" i="1"/>
  <c r="AZ242" i="1" s="1"/>
  <c r="G242" i="2" s="1"/>
  <c r="AY249" i="1"/>
  <c r="AZ249" i="1" s="1"/>
  <c r="G249" i="2" s="1"/>
  <c r="AY340" i="1"/>
  <c r="AZ340" i="1" s="1"/>
  <c r="G340" i="2" s="1"/>
  <c r="AY253" i="1"/>
  <c r="AZ253" i="1" s="1"/>
  <c r="G253" i="2" s="1"/>
  <c r="AY374" i="1"/>
  <c r="AZ374" i="1" s="1"/>
  <c r="G374" i="2" s="1"/>
  <c r="AY376" i="1"/>
  <c r="AZ376" i="1" s="1"/>
  <c r="G376" i="2" s="1"/>
  <c r="AY384" i="1"/>
  <c r="AZ384" i="1" s="1"/>
  <c r="G384" i="2" s="1"/>
  <c r="AY4" i="1"/>
  <c r="AZ4" i="1" s="1"/>
  <c r="G4" i="2" s="1"/>
  <c r="AY165" i="1"/>
  <c r="AZ165" i="1" s="1"/>
  <c r="G165" i="2" s="1"/>
  <c r="AY328" i="1"/>
  <c r="AZ328" i="1" s="1"/>
  <c r="G328" i="2" s="1"/>
  <c r="AY168" i="1"/>
  <c r="AZ168" i="1" s="1"/>
  <c r="G168" i="2" s="1"/>
  <c r="AY169" i="1"/>
  <c r="AZ169" i="1" s="1"/>
  <c r="G169" i="2" s="1"/>
  <c r="AY43" i="1"/>
  <c r="AZ43" i="1" s="1"/>
  <c r="G43" i="2" s="1"/>
  <c r="AY46" i="1"/>
  <c r="AZ46" i="1" s="1"/>
  <c r="G46" i="2" s="1"/>
  <c r="AY59" i="1"/>
  <c r="AZ59" i="1" s="1"/>
  <c r="G59" i="2" s="1"/>
  <c r="AY64" i="1"/>
  <c r="AZ64" i="1" s="1"/>
  <c r="G64" i="2" s="1"/>
  <c r="AY78" i="1"/>
  <c r="AZ78" i="1" s="1"/>
  <c r="G78" i="2" s="1"/>
  <c r="AY87" i="1"/>
  <c r="AZ87" i="1" s="1"/>
  <c r="G87" i="2" s="1"/>
  <c r="AY334" i="1"/>
  <c r="AZ334" i="1" s="1"/>
  <c r="G334" i="2" s="1"/>
  <c r="AY109" i="1"/>
  <c r="AZ109" i="1" s="1"/>
  <c r="G109" i="2" s="1"/>
  <c r="AY157" i="1"/>
  <c r="AZ157" i="1" s="1"/>
  <c r="G157" i="2" s="1"/>
  <c r="AY159" i="1"/>
  <c r="AZ159" i="1" s="1"/>
  <c r="G159" i="2" s="1"/>
  <c r="AY185" i="1"/>
  <c r="AZ185" i="1" s="1"/>
  <c r="G185" i="2" s="1"/>
  <c r="AY187" i="1"/>
  <c r="AZ187" i="1" s="1"/>
  <c r="G187" i="2" s="1"/>
  <c r="AY189" i="1"/>
  <c r="AZ189" i="1" s="1"/>
  <c r="G189" i="2" s="1"/>
  <c r="AY193" i="1"/>
  <c r="AZ193" i="1" s="1"/>
  <c r="G193" i="2" s="1"/>
  <c r="AY195" i="1"/>
  <c r="AZ195" i="1" s="1"/>
  <c r="G195" i="2" s="1"/>
  <c r="AY223" i="1"/>
  <c r="AZ223" i="1" s="1"/>
  <c r="G223" i="2" s="1"/>
  <c r="AY239" i="1"/>
  <c r="AZ239" i="1" s="1"/>
  <c r="G239" i="2" s="1"/>
  <c r="AY251" i="1"/>
  <c r="AZ251" i="1" s="1"/>
  <c r="G251" i="2" s="1"/>
  <c r="AY257" i="1"/>
  <c r="AZ257" i="1" s="1"/>
  <c r="G257" i="2" s="1"/>
  <c r="AY266" i="1"/>
  <c r="AZ266" i="1" s="1"/>
  <c r="G266" i="2" s="1"/>
  <c r="AY273" i="1"/>
  <c r="AZ273" i="1" s="1"/>
  <c r="G273" i="2" s="1"/>
  <c r="AY379" i="1"/>
  <c r="AZ379" i="1" s="1"/>
  <c r="G379" i="2" s="1"/>
  <c r="AY387" i="1"/>
  <c r="AZ387" i="1" s="1"/>
  <c r="G387" i="2" s="1"/>
  <c r="AY389" i="1"/>
  <c r="AZ389" i="1" s="1"/>
  <c r="G389" i="2" s="1"/>
  <c r="AY3" i="1"/>
  <c r="AZ3" i="1" s="1"/>
  <c r="G3" i="2" s="1"/>
  <c r="AY163" i="1"/>
  <c r="AZ163" i="1" s="1"/>
  <c r="G163" i="2" s="1"/>
  <c r="AY164" i="1"/>
  <c r="AZ164" i="1" s="1"/>
  <c r="G164" i="2" s="1"/>
  <c r="AY5" i="1"/>
  <c r="AZ5" i="1" s="1"/>
  <c r="G5" i="2" s="1"/>
  <c r="AY6" i="1"/>
  <c r="AZ6" i="1" s="1"/>
  <c r="G6" i="2" s="1"/>
  <c r="AY7" i="1"/>
  <c r="AZ7" i="1" s="1"/>
  <c r="G7" i="2" s="1"/>
  <c r="AY8" i="1"/>
  <c r="AZ8" i="1" s="1"/>
  <c r="G8" i="2" s="1"/>
  <c r="AY9" i="1"/>
  <c r="AZ9" i="1" s="1"/>
  <c r="G9" i="2" s="1"/>
  <c r="AY11" i="1"/>
  <c r="AZ11" i="1" s="1"/>
  <c r="AY166" i="1"/>
  <c r="AZ166" i="1" s="1"/>
  <c r="G166" i="2" s="1"/>
  <c r="AY326" i="1"/>
  <c r="AZ326" i="1" s="1"/>
  <c r="G326" i="2" s="1"/>
  <c r="AY14" i="1"/>
  <c r="AZ14" i="1" s="1"/>
  <c r="G14" i="2" s="1"/>
  <c r="AY15" i="1"/>
  <c r="AZ15" i="1" s="1"/>
  <c r="G15" i="2" s="1"/>
  <c r="AY16" i="1"/>
  <c r="AZ16" i="1" s="1"/>
  <c r="G16" i="2" s="1"/>
  <c r="AY19" i="1"/>
  <c r="AZ19" i="1" s="1"/>
  <c r="G19" i="2" s="1"/>
  <c r="AY20" i="1"/>
  <c r="AZ20" i="1" s="1"/>
  <c r="G20" i="2" s="1"/>
  <c r="AY23" i="1"/>
  <c r="AZ23" i="1" s="1"/>
  <c r="G23" i="2" s="1"/>
  <c r="AY26" i="1"/>
  <c r="AZ26" i="1" s="1"/>
  <c r="G26" i="2" s="1"/>
  <c r="AY32" i="1"/>
  <c r="AZ32" i="1" s="1"/>
  <c r="G32" i="2" s="1"/>
  <c r="AY34" i="1"/>
  <c r="AZ34" i="1" s="1"/>
  <c r="G34" i="2" s="1"/>
  <c r="AY38" i="1"/>
  <c r="AZ38" i="1" s="1"/>
  <c r="G38" i="2" s="1"/>
  <c r="AY41" i="1"/>
  <c r="AZ41" i="1" s="1"/>
  <c r="G41" i="2" s="1"/>
  <c r="AY42" i="1"/>
  <c r="AZ42" i="1" s="1"/>
  <c r="G42" i="2" s="1"/>
  <c r="AY44" i="1"/>
  <c r="AZ44" i="1" s="1"/>
  <c r="G44" i="2" s="1"/>
  <c r="AY45" i="1"/>
  <c r="AZ45" i="1" s="1"/>
  <c r="G45" i="2" s="1"/>
  <c r="AY47" i="1"/>
  <c r="AZ47" i="1" s="1"/>
  <c r="G47" i="2" s="1"/>
  <c r="AY170" i="1"/>
  <c r="AZ170" i="1" s="1"/>
  <c r="G170" i="2" s="1"/>
  <c r="AY54" i="1"/>
  <c r="AZ54" i="1" s="1"/>
  <c r="G54" i="2" s="1"/>
  <c r="AY56" i="1"/>
  <c r="AZ56" i="1" s="1"/>
  <c r="G56" i="2" s="1"/>
  <c r="AY57" i="1"/>
  <c r="AZ57" i="1" s="1"/>
  <c r="G57" i="2" s="1"/>
  <c r="AY58" i="1"/>
  <c r="AZ58" i="1" s="1"/>
  <c r="G58" i="2" s="1"/>
  <c r="AY60" i="1"/>
  <c r="AZ60" i="1" s="1"/>
  <c r="G60" i="2" s="1"/>
  <c r="AY63" i="1"/>
  <c r="AZ63" i="1" s="1"/>
  <c r="G63" i="2" s="1"/>
  <c r="AY171" i="1"/>
  <c r="AZ171" i="1" s="1"/>
  <c r="G171" i="2" s="1"/>
  <c r="AY67" i="1"/>
  <c r="AZ67" i="1" s="1"/>
  <c r="G67" i="2" s="1"/>
  <c r="AY68" i="1"/>
  <c r="AZ68" i="1" s="1"/>
  <c r="G68" i="2" s="1"/>
  <c r="AY69" i="1"/>
  <c r="AZ69" i="1" s="1"/>
  <c r="G69" i="2" s="1"/>
  <c r="AY71" i="1"/>
  <c r="AZ71" i="1" s="1"/>
  <c r="G71" i="2" s="1"/>
  <c r="AY73" i="1"/>
  <c r="AZ73" i="1" s="1"/>
  <c r="G73" i="2" s="1"/>
  <c r="AY74" i="1"/>
  <c r="AZ74" i="1" s="1"/>
  <c r="G74" i="2" s="1"/>
  <c r="AY332" i="1"/>
  <c r="AZ332" i="1" s="1"/>
  <c r="G332" i="2" s="1"/>
  <c r="AY77" i="1"/>
  <c r="AZ77" i="1" s="1"/>
  <c r="G77" i="2" s="1"/>
  <c r="AY79" i="1"/>
  <c r="AZ79" i="1" s="1"/>
  <c r="G79" i="2" s="1"/>
  <c r="AY82" i="1"/>
  <c r="AZ82" i="1" s="1"/>
  <c r="G82" i="2" s="1"/>
  <c r="AY83" i="1"/>
  <c r="AZ83" i="1" s="1"/>
  <c r="G83" i="2" s="1"/>
  <c r="AY84" i="1"/>
  <c r="AZ84" i="1" s="1"/>
  <c r="G84" i="2" s="1"/>
  <c r="AY85" i="1"/>
  <c r="AZ85" i="1" s="1"/>
  <c r="G85" i="2" s="1"/>
  <c r="AY88" i="1"/>
  <c r="AZ88" i="1" s="1"/>
  <c r="G88" i="2" s="1"/>
  <c r="AY89" i="1"/>
  <c r="AZ89" i="1" s="1"/>
  <c r="G89" i="2" s="1"/>
  <c r="AY90" i="1"/>
  <c r="AZ90" i="1" s="1"/>
  <c r="G90" i="2" s="1"/>
  <c r="AY92" i="1"/>
  <c r="AZ92" i="1" s="1"/>
  <c r="G92" i="2" s="1"/>
  <c r="AY94" i="1"/>
  <c r="AZ94" i="1" s="1"/>
  <c r="G94" i="2" s="1"/>
  <c r="AY98" i="1"/>
  <c r="AZ98" i="1" s="1"/>
  <c r="G98" i="2" s="1"/>
  <c r="AY101" i="1"/>
  <c r="AZ101" i="1" s="1"/>
  <c r="G101" i="2" s="1"/>
  <c r="AY105" i="1"/>
  <c r="AZ105" i="1" s="1"/>
  <c r="G105" i="2" s="1"/>
  <c r="AY106" i="1"/>
  <c r="AZ106" i="1" s="1"/>
  <c r="G106" i="2" s="1"/>
  <c r="AY107" i="1"/>
  <c r="AZ107" i="1" s="1"/>
  <c r="G107" i="2" s="1"/>
  <c r="AY111" i="1"/>
  <c r="AZ111" i="1" s="1"/>
  <c r="G111" i="2" s="1"/>
  <c r="AY160" i="1"/>
  <c r="AZ160" i="1" s="1"/>
  <c r="G160" i="2" s="1"/>
  <c r="AY181" i="1"/>
  <c r="AZ181" i="1" s="1"/>
  <c r="G181" i="2" s="1"/>
  <c r="AY183" i="1"/>
  <c r="AZ183" i="1" s="1"/>
  <c r="G183" i="2" s="1"/>
  <c r="AY190" i="1"/>
  <c r="AZ190" i="1" s="1"/>
  <c r="G190" i="2" s="1"/>
  <c r="AY205" i="1"/>
  <c r="AZ205" i="1" s="1"/>
  <c r="G205" i="2" s="1"/>
  <c r="AY210" i="1"/>
  <c r="AZ210" i="1" s="1"/>
  <c r="G210" i="2" s="1"/>
  <c r="AY244" i="1"/>
  <c r="AZ244" i="1" s="1"/>
  <c r="G244" i="2" s="1"/>
  <c r="AY246" i="1"/>
  <c r="AZ246" i="1" s="1"/>
  <c r="G246" i="2" s="1"/>
  <c r="AY248" i="1"/>
  <c r="AZ248" i="1" s="1"/>
  <c r="G248" i="2" s="1"/>
  <c r="AY250" i="1"/>
  <c r="AZ250" i="1" s="1"/>
  <c r="G250" i="2" s="1"/>
  <c r="AY262" i="1"/>
  <c r="AZ262" i="1" s="1"/>
  <c r="G262" i="2" s="1"/>
  <c r="AY264" i="1"/>
  <c r="AZ264" i="1" s="1"/>
  <c r="G264" i="2" s="1"/>
  <c r="AY370" i="1"/>
  <c r="AZ370" i="1" s="1"/>
  <c r="G370" i="2" s="1"/>
  <c r="AY372" i="1"/>
  <c r="AZ372" i="1" s="1"/>
  <c r="G372" i="2" s="1"/>
  <c r="AY377" i="1"/>
  <c r="AZ377" i="1" s="1"/>
  <c r="G377" i="2" s="1"/>
  <c r="AY121" i="1"/>
  <c r="AZ121" i="1" s="1"/>
  <c r="G121" i="2" s="1"/>
  <c r="AY161" i="1"/>
  <c r="AZ161" i="1" s="1"/>
  <c r="G161" i="2" s="1"/>
  <c r="AY188" i="1"/>
  <c r="AZ188" i="1" s="1"/>
  <c r="G188" i="2" s="1"/>
  <c r="AY211" i="1"/>
  <c r="AZ211" i="1" s="1"/>
  <c r="G211" i="2" s="1"/>
  <c r="AY213" i="1"/>
  <c r="AZ213" i="1" s="1"/>
  <c r="G213" i="2" s="1"/>
  <c r="AY215" i="1"/>
  <c r="AZ215" i="1" s="1"/>
  <c r="G215" i="2" s="1"/>
  <c r="AY231" i="1"/>
  <c r="AZ231" i="1" s="1"/>
  <c r="G231" i="2" s="1"/>
  <c r="AY233" i="1"/>
  <c r="AZ233" i="1" s="1"/>
  <c r="G233" i="2" s="1"/>
  <c r="AY245" i="1"/>
  <c r="AZ245" i="1" s="1"/>
  <c r="G245" i="2" s="1"/>
  <c r="AY252" i="1"/>
  <c r="AZ252" i="1" s="1"/>
  <c r="G252" i="2" s="1"/>
  <c r="AY254" i="1"/>
  <c r="AZ254" i="1" s="1"/>
  <c r="G254" i="2" s="1"/>
  <c r="AY256" i="1"/>
  <c r="AZ256" i="1" s="1"/>
  <c r="G256" i="2" s="1"/>
  <c r="AY261" i="1"/>
  <c r="AZ261" i="1" s="1"/>
  <c r="G261" i="2" s="1"/>
  <c r="AY382" i="1"/>
  <c r="AZ382" i="1" s="1"/>
  <c r="G382" i="2" s="1"/>
  <c r="AY335" i="1"/>
  <c r="AZ335" i="1"/>
  <c r="G335" i="2" s="1"/>
  <c r="AY209" i="1"/>
  <c r="AZ209" i="1"/>
  <c r="G209" i="2" s="1"/>
  <c r="AY216" i="1"/>
  <c r="AZ216" i="1"/>
  <c r="G216" i="2" s="1"/>
  <c r="AY217" i="1"/>
  <c r="AZ217" i="1"/>
  <c r="G217" i="2" s="1"/>
  <c r="AY221" i="1"/>
  <c r="AZ221" i="1"/>
  <c r="G221" i="2" s="1"/>
  <c r="AY228" i="1"/>
  <c r="AZ228" i="1"/>
  <c r="G228" i="2" s="1"/>
  <c r="AY229" i="1"/>
  <c r="AZ229" i="1"/>
  <c r="G229" i="2" s="1"/>
  <c r="AY241" i="1"/>
  <c r="AZ241" i="1"/>
  <c r="G241" i="2" s="1"/>
  <c r="AY255" i="1"/>
  <c r="AZ255" i="1"/>
  <c r="G255" i="2" s="1"/>
  <c r="AY263" i="1"/>
  <c r="AZ263" i="1"/>
  <c r="G263" i="2" s="1"/>
  <c r="AY265" i="1"/>
  <c r="AZ265" i="1"/>
  <c r="G265" i="2" s="1"/>
  <c r="AY268" i="1"/>
  <c r="AZ268" i="1"/>
  <c r="G268" i="2" s="1"/>
  <c r="AY272" i="1"/>
  <c r="AZ272" i="1"/>
  <c r="G272" i="2" s="1"/>
  <c r="AY275" i="1"/>
  <c r="AZ275" i="1"/>
  <c r="G275" i="2" s="1"/>
  <c r="AY353" i="1"/>
  <c r="AZ353" i="1"/>
  <c r="G353" i="2" s="1"/>
  <c r="AY354" i="1"/>
  <c r="AZ354" i="1"/>
  <c r="G354" i="2" s="1"/>
  <c r="AY356" i="1"/>
  <c r="AZ356" i="1"/>
  <c r="G356" i="2" s="1"/>
  <c r="AY357" i="1"/>
  <c r="AZ357" i="1"/>
  <c r="G357" i="2" s="1"/>
  <c r="AY358" i="1"/>
  <c r="AZ358" i="1"/>
  <c r="G358" i="2" s="1"/>
  <c r="AY361" i="1"/>
  <c r="AZ361" i="1"/>
  <c r="G361" i="2" s="1"/>
  <c r="AY363" i="1"/>
  <c r="AZ363" i="1"/>
  <c r="G363" i="2" s="1"/>
  <c r="AY364" i="1"/>
  <c r="AZ364" i="1"/>
  <c r="G364" i="2" s="1"/>
  <c r="AY365" i="1"/>
  <c r="AZ365" i="1"/>
  <c r="G365" i="2" s="1"/>
  <c r="BG4" i="1" l="1"/>
  <c r="G11" i="2"/>
  <c r="BG7" i="1"/>
  <c r="BG6" i="1"/>
  <c r="BG8" i="1" l="1"/>
  <c r="F2" i="2" l="1"/>
  <c r="F227" i="2" l="1"/>
  <c r="F259" i="2" l="1"/>
  <c r="F134" i="2" l="1"/>
  <c r="F337" i="2" l="1"/>
  <c r="F326" i="2" l="1"/>
  <c r="F218" i="2"/>
  <c r="F113" i="2"/>
  <c r="F155" i="2"/>
  <c r="F350" i="2"/>
  <c r="F70" i="2"/>
  <c r="F81" i="2"/>
  <c r="F269" i="2"/>
  <c r="F258" i="2"/>
  <c r="F217" i="2"/>
  <c r="F263" i="2"/>
  <c r="F116" i="2"/>
  <c r="F268" i="2"/>
  <c r="F149" i="2"/>
  <c r="F161" i="2"/>
  <c r="F357" i="2"/>
  <c r="F19" i="2"/>
  <c r="F342" i="2"/>
  <c r="F21" i="2"/>
  <c r="F306" i="2"/>
  <c r="F187" i="2"/>
  <c r="F296" i="2"/>
  <c r="F316" i="2"/>
  <c r="F77" i="2"/>
  <c r="F135" i="2"/>
  <c r="F61" i="2"/>
  <c r="F170" i="2"/>
  <c r="F68" i="2"/>
  <c r="F199" i="2"/>
  <c r="F109" i="2"/>
  <c r="F231" i="2"/>
  <c r="F83" i="2"/>
  <c r="F204" i="2"/>
  <c r="F123" i="2"/>
  <c r="F224" i="2"/>
  <c r="F59" i="2"/>
  <c r="F333" i="2"/>
  <c r="F353" i="2"/>
  <c r="F239" i="2"/>
  <c r="F188" i="2"/>
  <c r="F323" i="2"/>
  <c r="F368" i="2"/>
  <c r="F315" i="2"/>
  <c r="F295" i="2"/>
  <c r="F200" i="2"/>
  <c r="F359" i="2"/>
  <c r="F18" i="2"/>
  <c r="F115" i="2"/>
  <c r="F25" i="2"/>
  <c r="F12" i="2"/>
  <c r="F344" i="2"/>
  <c r="F154" i="2"/>
  <c r="F345" i="2"/>
  <c r="F84" i="2"/>
  <c r="F186" i="2"/>
  <c r="F89" i="2"/>
  <c r="F75" i="2"/>
  <c r="F251" i="2"/>
  <c r="F130" i="2"/>
  <c r="F335" i="2"/>
  <c r="F54" i="2"/>
  <c r="F253" i="2"/>
  <c r="F347" i="2"/>
  <c r="F303" i="2"/>
  <c r="F79" i="2"/>
  <c r="F166" i="2"/>
  <c r="F66" i="2"/>
  <c r="F285" i="2"/>
  <c r="F321" i="2"/>
  <c r="F145" i="2"/>
  <c r="F309" i="2"/>
  <c r="F57" i="2"/>
  <c r="F139" i="2"/>
  <c r="F78" i="2"/>
  <c r="F171" i="2"/>
  <c r="F289" i="2"/>
  <c r="F291" i="2"/>
  <c r="F202" i="2"/>
  <c r="F27" i="2"/>
  <c r="F151" i="2"/>
  <c r="F267" i="2"/>
  <c r="F313" i="2"/>
  <c r="F43" i="2"/>
  <c r="F136" i="2"/>
  <c r="F191" i="2"/>
  <c r="F118" i="2"/>
  <c r="F196" i="2"/>
  <c r="F208" i="2"/>
  <c r="F354" i="2"/>
  <c r="F360" i="2"/>
  <c r="F117" i="2"/>
  <c r="F22" i="2"/>
  <c r="F92" i="2"/>
  <c r="F169" i="2"/>
  <c r="F265" i="2"/>
  <c r="F232" i="2"/>
  <c r="F266" i="2"/>
  <c r="F270" i="2"/>
  <c r="F91" i="2"/>
  <c r="F47" i="2"/>
  <c r="F245" i="2"/>
  <c r="F290" i="2"/>
  <c r="F104" i="2"/>
  <c r="F32" i="2"/>
  <c r="F35" i="2"/>
  <c r="F98" i="2"/>
  <c r="F366" i="2"/>
  <c r="F250" i="2"/>
  <c r="F212" i="2"/>
  <c r="F14" i="2"/>
  <c r="F129" i="2"/>
  <c r="F271" i="2"/>
  <c r="F160" i="2"/>
  <c r="F41" i="2"/>
  <c r="F71" i="2"/>
  <c r="F365" i="2"/>
  <c r="F86" i="2"/>
  <c r="F30" i="2"/>
  <c r="F45" i="2"/>
  <c r="F72" i="2"/>
  <c r="F101" i="2"/>
  <c r="F211" i="2"/>
  <c r="F207" i="2"/>
  <c r="F4" i="2"/>
  <c r="F317" i="2"/>
  <c r="F343" i="2"/>
  <c r="F195" i="2"/>
  <c r="F137" i="2"/>
  <c r="F356" i="2"/>
  <c r="F355" i="2"/>
  <c r="F11" i="2"/>
  <c r="F192" i="2"/>
  <c r="F114" i="2"/>
  <c r="F107" i="2"/>
  <c r="F174" i="2"/>
  <c r="F292" i="2"/>
  <c r="F238" i="2"/>
  <c r="F144" i="2"/>
  <c r="F40" i="2"/>
  <c r="F95" i="2"/>
  <c r="F102" i="2"/>
  <c r="F148" i="2"/>
  <c r="F305" i="2"/>
  <c r="F183" i="2"/>
  <c r="F46" i="2"/>
  <c r="F230" i="2"/>
  <c r="F264" i="2"/>
  <c r="F241" i="2"/>
  <c r="F325" i="2"/>
  <c r="F180" i="2"/>
  <c r="F293" i="2"/>
  <c r="F141" i="2"/>
  <c r="F361" i="2"/>
  <c r="F338" i="2"/>
  <c r="F348" i="2"/>
  <c r="F220" i="2"/>
  <c r="F49" i="2"/>
  <c r="F184" i="2"/>
  <c r="F51" i="2"/>
  <c r="F327" i="2"/>
  <c r="F177" i="2"/>
  <c r="F282" i="2"/>
  <c r="F58" i="2"/>
  <c r="F248" i="2"/>
  <c r="F176" i="2"/>
  <c r="F190" i="2"/>
  <c r="F178" i="2"/>
  <c r="F131" i="2"/>
  <c r="F336" i="2"/>
  <c r="F332" i="2"/>
  <c r="F87" i="2"/>
  <c r="F193" i="2"/>
  <c r="F362" i="2"/>
  <c r="F329" i="2"/>
  <c r="F127" i="2"/>
  <c r="F138" i="2"/>
  <c r="F105" i="2"/>
  <c r="F223" i="2"/>
  <c r="F364" i="2"/>
  <c r="F24" i="2"/>
  <c r="F9" i="2"/>
  <c r="F243" i="2"/>
  <c r="F225" i="2"/>
  <c r="F182" i="2"/>
  <c r="F108" i="2"/>
  <c r="F307" i="2"/>
  <c r="F76" i="2"/>
  <c r="F133" i="2"/>
  <c r="F229" i="2"/>
  <c r="F278" i="2"/>
  <c r="F340" i="2"/>
  <c r="F181" i="2"/>
  <c r="F288" i="2"/>
  <c r="F106" i="2"/>
  <c r="F69" i="2"/>
  <c r="F37" i="2"/>
  <c r="F33" i="2"/>
  <c r="F280" i="2"/>
  <c r="F334" i="2"/>
  <c r="F96" i="2"/>
  <c r="F244" i="2"/>
  <c r="F226" i="2"/>
  <c r="F331" i="2"/>
  <c r="F346" i="2"/>
  <c r="F322" i="2"/>
  <c r="F26" i="2"/>
  <c r="F42" i="2"/>
  <c r="F209" i="2"/>
  <c r="F262" i="2"/>
  <c r="F124" i="2"/>
  <c r="F85" i="2"/>
  <c r="F252" i="2"/>
  <c r="F257" i="2"/>
  <c r="F44" i="2"/>
  <c r="F120" i="2"/>
  <c r="F221" i="2"/>
  <c r="F274" i="2"/>
  <c r="F153" i="2"/>
  <c r="F157" i="2"/>
  <c r="F88" i="2"/>
  <c r="F128" i="2"/>
  <c r="F121" i="2"/>
  <c r="F20" i="2"/>
  <c r="F159" i="2"/>
  <c r="F16" i="2"/>
  <c r="F13" i="2"/>
  <c r="F36" i="2"/>
  <c r="F189" i="2"/>
  <c r="F90" i="2"/>
  <c r="F5" i="2"/>
  <c r="F219" i="2"/>
  <c r="F299" i="2"/>
  <c r="F214" i="2"/>
  <c r="F55" i="2"/>
  <c r="F351" i="2"/>
  <c r="F260" i="2"/>
  <c r="F273" i="2"/>
  <c r="F324" i="2"/>
  <c r="F328" i="2"/>
  <c r="F38" i="2"/>
  <c r="F194" i="2"/>
  <c r="F8" i="2"/>
  <c r="F3" i="2"/>
  <c r="F142" i="2"/>
  <c r="F156" i="2"/>
  <c r="F103" i="2"/>
  <c r="F256" i="2"/>
  <c r="F367" i="2"/>
  <c r="F216" i="2"/>
  <c r="F197" i="2"/>
  <c r="F28" i="2"/>
  <c r="F111" i="2"/>
  <c r="F82" i="2"/>
  <c r="F222" i="2"/>
  <c r="F234" i="2"/>
  <c r="F173" i="2"/>
  <c r="F272" i="2"/>
  <c r="F152" i="2"/>
  <c r="F93" i="2"/>
  <c r="F236" i="2"/>
  <c r="F48" i="2"/>
  <c r="F247" i="2"/>
  <c r="F301" i="2"/>
  <c r="F56" i="2"/>
  <c r="F100" i="2"/>
  <c r="F206" i="2"/>
  <c r="F246" i="2"/>
  <c r="F63" i="2"/>
  <c r="F67" i="2"/>
  <c r="F255" i="2"/>
  <c r="F249" i="2"/>
  <c r="F60" i="2"/>
  <c r="F294" i="2"/>
  <c r="F132" i="2"/>
  <c r="F162" i="2"/>
  <c r="F352" i="2"/>
  <c r="F240" i="2"/>
  <c r="F358" i="2"/>
  <c r="F164" i="2"/>
  <c r="F228" i="2"/>
  <c r="F74" i="2"/>
  <c r="F205" i="2"/>
  <c r="F146" i="2"/>
  <c r="F172" i="2"/>
  <c r="F143" i="2"/>
  <c r="F281" i="2"/>
  <c r="F23" i="2"/>
  <c r="F168" i="2"/>
  <c r="F302" i="2"/>
  <c r="F279" i="2"/>
  <c r="F15" i="2"/>
  <c r="F99" i="2"/>
  <c r="F304" i="2"/>
  <c r="F122" i="2"/>
  <c r="F17" i="2"/>
  <c r="F308" i="2"/>
  <c r="F62" i="2"/>
  <c r="F203" i="2"/>
  <c r="F50" i="2"/>
  <c r="F300" i="2"/>
  <c r="F198" i="2"/>
  <c r="F277" i="2"/>
  <c r="F349" i="2"/>
  <c r="F7" i="2"/>
  <c r="F125" i="2"/>
  <c r="F119" i="2"/>
  <c r="F112" i="2"/>
  <c r="F312" i="2"/>
  <c r="F179" i="2"/>
  <c r="F97" i="2"/>
  <c r="F158" i="2"/>
  <c r="F53" i="2"/>
  <c r="F29" i="2"/>
  <c r="F242" i="2"/>
  <c r="F298" i="2"/>
  <c r="F80" i="2"/>
  <c r="F52" i="2"/>
  <c r="F318" i="2"/>
  <c r="F237" i="2"/>
  <c r="F140" i="2"/>
  <c r="F233" i="2"/>
  <c r="F341" i="2"/>
  <c r="F284" i="2"/>
  <c r="F34" i="2"/>
  <c r="F65" i="2"/>
  <c r="F150" i="2"/>
  <c r="F73" i="2"/>
  <c r="F320" i="2"/>
  <c r="F31" i="2"/>
  <c r="F319" i="2"/>
  <c r="F363" i="2"/>
  <c r="F314" i="2"/>
  <c r="F235" i="2"/>
  <c r="F330" i="2"/>
  <c r="F286" i="2"/>
  <c r="F147" i="2"/>
  <c r="F215" i="2"/>
  <c r="F185" i="2"/>
  <c r="F275" i="2"/>
  <c r="F94" i="2"/>
  <c r="F167" i="2"/>
  <c r="F175" i="2"/>
  <c r="F10" i="2"/>
  <c r="F310" i="2"/>
  <c r="F283" i="2"/>
  <c r="F6" i="2"/>
  <c r="F339" i="2"/>
  <c r="F311" i="2"/>
  <c r="F297" i="2"/>
  <c r="F39" i="2"/>
  <c r="F64" i="2"/>
  <c r="F210" i="2"/>
  <c r="F261" i="2"/>
  <c r="F254" i="2"/>
  <c r="F165" i="2"/>
  <c r="F110" i="2"/>
  <c r="F287" i="2"/>
  <c r="F126" i="2"/>
  <c r="F163" i="2"/>
  <c r="F276" i="2"/>
  <c r="F213" i="2"/>
  <c r="F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AB084-016B-B94E-B72B-C053CA72646A}" name="Louisa_wConduits_Risk_Table(wPipes_Nominal_Flow)" type="6" refreshedVersion="8" background="1" saveData="1">
    <textPr codePage="65001" sourceFile="/Users/aya/github/markdown/LEYP_Optimizer_Water/Louisa_wConduits_Risk_Table(wPipes_Nominal_Flow).csv" comma="1">
      <textFields count="5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<sst xmlns="http://schemas.openxmlformats.org/spreadsheetml/2006/main" count="5927" uniqueCount="989">
  <si>
    <t>OBJECTID</t>
  </si>
  <si>
    <t>MOID</t>
  </si>
  <si>
    <t>MOTYPE</t>
  </si>
  <si>
    <t>SELCODE</t>
  </si>
  <si>
    <t>DSPCODE</t>
  </si>
  <si>
    <t>UDFTYPE</t>
  </si>
  <si>
    <t>LDMTYPE</t>
  </si>
  <si>
    <t>ID</t>
  </si>
  <si>
    <t>DESCRIPT</t>
  </si>
  <si>
    <t>YR_INST</t>
  </si>
  <si>
    <t>YR_RETIRE</t>
  </si>
  <si>
    <t>ZONE</t>
  </si>
  <si>
    <t>MATERIAL</t>
  </si>
  <si>
    <t>LINING</t>
  </si>
  <si>
    <t>COST_ID</t>
  </si>
  <si>
    <t>PHASE</t>
  </si>
  <si>
    <t>ID_1</t>
  </si>
  <si>
    <t>LENGTH</t>
  </si>
  <si>
    <t>DIAMETER</t>
  </si>
  <si>
    <t>ROUGHNESS</t>
  </si>
  <si>
    <t>MINORLOSS</t>
  </si>
  <si>
    <t>TOTALIZER</t>
  </si>
  <si>
    <t>CHK_VALVE</t>
  </si>
  <si>
    <t>ID_12</t>
  </si>
  <si>
    <t>DIRECTION</t>
  </si>
  <si>
    <t>RUN_DIAM</t>
  </si>
  <si>
    <t>RUN_LENGTH</t>
  </si>
  <si>
    <t>RUN_ROUGH</t>
  </si>
  <si>
    <t>FLOW</t>
  </si>
  <si>
    <t>VELOCITY</t>
  </si>
  <si>
    <t>HEADLOSS</t>
  </si>
  <si>
    <t>HL1000</t>
  </si>
  <si>
    <t>STATUS</t>
  </si>
  <si>
    <t>MAX_FLOW</t>
  </si>
  <si>
    <t>MIN_FLOW</t>
  </si>
  <si>
    <t>AVE_FLOW</t>
  </si>
  <si>
    <t>MAX_VELOC</t>
  </si>
  <si>
    <t>MIN_VELOC</t>
  </si>
  <si>
    <t>AVE_VELOC</t>
  </si>
  <si>
    <t>MAX_HDLOSS</t>
  </si>
  <si>
    <t>MIN_HDLOSS</t>
  </si>
  <si>
    <t>AVE_HDLOSS</t>
  </si>
  <si>
    <t>SHAPE_Length</t>
  </si>
  <si>
    <t>Crtical_Xing</t>
  </si>
  <si>
    <t>P787</t>
  </si>
  <si>
    <t>Ductile Iron</t>
  </si>
  <si>
    <t>P789</t>
  </si>
  <si>
    <t>P791</t>
  </si>
  <si>
    <t>P793</t>
  </si>
  <si>
    <t>P795</t>
  </si>
  <si>
    <t>P797</t>
  </si>
  <si>
    <t>P799</t>
  </si>
  <si>
    <t>P801</t>
  </si>
  <si>
    <t>P803</t>
  </si>
  <si>
    <t>P805</t>
  </si>
  <si>
    <t>P807</t>
  </si>
  <si>
    <t>P809</t>
  </si>
  <si>
    <t>P811</t>
  </si>
  <si>
    <t>P813</t>
  </si>
  <si>
    <t>P815</t>
  </si>
  <si>
    <t>P817</t>
  </si>
  <si>
    <t>P819</t>
  </si>
  <si>
    <t>P821</t>
  </si>
  <si>
    <t>P823</t>
  </si>
  <si>
    <t>P825</t>
  </si>
  <si>
    <t>P827</t>
  </si>
  <si>
    <t>P829</t>
  </si>
  <si>
    <t>P831</t>
  </si>
  <si>
    <t>P833</t>
  </si>
  <si>
    <t>P835</t>
  </si>
  <si>
    <t>P837</t>
  </si>
  <si>
    <t>P839</t>
  </si>
  <si>
    <t>P841</t>
  </si>
  <si>
    <t>P843</t>
  </si>
  <si>
    <t>P845</t>
  </si>
  <si>
    <t>P847</t>
  </si>
  <si>
    <t>P849</t>
  </si>
  <si>
    <t>P851</t>
  </si>
  <si>
    <t>P853</t>
  </si>
  <si>
    <t>P855</t>
  </si>
  <si>
    <t>P857</t>
  </si>
  <si>
    <t>P859</t>
  </si>
  <si>
    <t>P861</t>
  </si>
  <si>
    <t>P863</t>
  </si>
  <si>
    <t>P865</t>
  </si>
  <si>
    <t>P867</t>
  </si>
  <si>
    <t>P869</t>
  </si>
  <si>
    <t>P871</t>
  </si>
  <si>
    <t>P873</t>
  </si>
  <si>
    <t>P875</t>
  </si>
  <si>
    <t>P877</t>
  </si>
  <si>
    <t>P879</t>
  </si>
  <si>
    <t>P881</t>
  </si>
  <si>
    <t>P883</t>
  </si>
  <si>
    <t>P885</t>
  </si>
  <si>
    <t>P887</t>
  </si>
  <si>
    <t>P889</t>
  </si>
  <si>
    <t>P891</t>
  </si>
  <si>
    <t>P893</t>
  </si>
  <si>
    <t>P895</t>
  </si>
  <si>
    <t>P897</t>
  </si>
  <si>
    <t>P899</t>
  </si>
  <si>
    <t>P901</t>
  </si>
  <si>
    <t>P903</t>
  </si>
  <si>
    <t>P905</t>
  </si>
  <si>
    <t>P907</t>
  </si>
  <si>
    <t>P909</t>
  </si>
  <si>
    <t>P911</t>
  </si>
  <si>
    <t>P913</t>
  </si>
  <si>
    <t>P915</t>
  </si>
  <si>
    <t>P917</t>
  </si>
  <si>
    <t>P919</t>
  </si>
  <si>
    <t>P921</t>
  </si>
  <si>
    <t>P923</t>
  </si>
  <si>
    <t>P925</t>
  </si>
  <si>
    <t>P927</t>
  </si>
  <si>
    <t>P929</t>
  </si>
  <si>
    <t>P931</t>
  </si>
  <si>
    <t>P933</t>
  </si>
  <si>
    <t>P935</t>
  </si>
  <si>
    <t>P937</t>
  </si>
  <si>
    <t>P939</t>
  </si>
  <si>
    <t>P941</t>
  </si>
  <si>
    <t>P943</t>
  </si>
  <si>
    <t>P945</t>
  </si>
  <si>
    <t>P947</t>
  </si>
  <si>
    <t>P949</t>
  </si>
  <si>
    <t>P951</t>
  </si>
  <si>
    <t>P953</t>
  </si>
  <si>
    <t>P955</t>
  </si>
  <si>
    <t>P957</t>
  </si>
  <si>
    <t>P959</t>
  </si>
  <si>
    <t>P961</t>
  </si>
  <si>
    <t>P963</t>
  </si>
  <si>
    <t>P965</t>
  </si>
  <si>
    <t>P967</t>
  </si>
  <si>
    <t>P969</t>
  </si>
  <si>
    <t>P971</t>
  </si>
  <si>
    <t>P973</t>
  </si>
  <si>
    <t>P975</t>
  </si>
  <si>
    <t>P977</t>
  </si>
  <si>
    <t>Galvanized Iron</t>
  </si>
  <si>
    <t>P979</t>
  </si>
  <si>
    <t>P981</t>
  </si>
  <si>
    <t>P983</t>
  </si>
  <si>
    <t>P985</t>
  </si>
  <si>
    <t>PVC</t>
  </si>
  <si>
    <t>P987</t>
  </si>
  <si>
    <t>Cast Iron</t>
  </si>
  <si>
    <t>P989</t>
  </si>
  <si>
    <t>P991</t>
  </si>
  <si>
    <t>P993</t>
  </si>
  <si>
    <t>P995</t>
  </si>
  <si>
    <t>P997</t>
  </si>
  <si>
    <t>P999</t>
  </si>
  <si>
    <t>P1001</t>
  </si>
  <si>
    <t>P1003</t>
  </si>
  <si>
    <t>P1005</t>
  </si>
  <si>
    <t>Asbestos Cement</t>
  </si>
  <si>
    <t>P1007</t>
  </si>
  <si>
    <t>P1009</t>
  </si>
  <si>
    <t>P1011</t>
  </si>
  <si>
    <t>P1013</t>
  </si>
  <si>
    <t>P1015</t>
  </si>
  <si>
    <t>P1017</t>
  </si>
  <si>
    <t>P1019</t>
  </si>
  <si>
    <t>P1021</t>
  </si>
  <si>
    <t>P1023</t>
  </si>
  <si>
    <t>P1025</t>
  </si>
  <si>
    <t>P1027</t>
  </si>
  <si>
    <t>P1029</t>
  </si>
  <si>
    <t>P1031</t>
  </si>
  <si>
    <t>P1033</t>
  </si>
  <si>
    <t>P1035</t>
  </si>
  <si>
    <t>P1037</t>
  </si>
  <si>
    <t>P1039</t>
  </si>
  <si>
    <t>P1041</t>
  </si>
  <si>
    <t>P1045</t>
  </si>
  <si>
    <t>P1047</t>
  </si>
  <si>
    <t>P1049</t>
  </si>
  <si>
    <t>P1051</t>
  </si>
  <si>
    <t>P1053</t>
  </si>
  <si>
    <t>P1055</t>
  </si>
  <si>
    <t>P1057</t>
  </si>
  <si>
    <t>P1059</t>
  </si>
  <si>
    <t>P1061</t>
  </si>
  <si>
    <t>P1063</t>
  </si>
  <si>
    <t>P1065</t>
  </si>
  <si>
    <t>P1067</t>
  </si>
  <si>
    <t>P1069</t>
  </si>
  <si>
    <t>P1071</t>
  </si>
  <si>
    <t>P1073</t>
  </si>
  <si>
    <t>P1075</t>
  </si>
  <si>
    <t>P1077</t>
  </si>
  <si>
    <t>P1079</t>
  </si>
  <si>
    <t>P1081</t>
  </si>
  <si>
    <t>P1083</t>
  </si>
  <si>
    <t>P1085</t>
  </si>
  <si>
    <t>P1087</t>
  </si>
  <si>
    <t>P1089</t>
  </si>
  <si>
    <t>P1091</t>
  </si>
  <si>
    <t>P1093</t>
  </si>
  <si>
    <t>P1095</t>
  </si>
  <si>
    <t>P1097</t>
  </si>
  <si>
    <t>P1099</t>
  </si>
  <si>
    <t>P1101</t>
  </si>
  <si>
    <t>P1103</t>
  </si>
  <si>
    <t>P1105</t>
  </si>
  <si>
    <t>P1107</t>
  </si>
  <si>
    <t>P1109</t>
  </si>
  <si>
    <t>P1111</t>
  </si>
  <si>
    <t>P1113</t>
  </si>
  <si>
    <t>P1115</t>
  </si>
  <si>
    <t>P1117</t>
  </si>
  <si>
    <t>P1119</t>
  </si>
  <si>
    <t>P1121</t>
  </si>
  <si>
    <t>P1123</t>
  </si>
  <si>
    <t>P1125</t>
  </si>
  <si>
    <t>P1127</t>
  </si>
  <si>
    <t>P1129</t>
  </si>
  <si>
    <t>P1131</t>
  </si>
  <si>
    <t>P1133</t>
  </si>
  <si>
    <t>P1135</t>
  </si>
  <si>
    <t>P1137</t>
  </si>
  <si>
    <t>P1139</t>
  </si>
  <si>
    <t>P1141</t>
  </si>
  <si>
    <t>P1143</t>
  </si>
  <si>
    <t>P1145</t>
  </si>
  <si>
    <t>P1147</t>
  </si>
  <si>
    <t>P1149</t>
  </si>
  <si>
    <t>P1151</t>
  </si>
  <si>
    <t>P1153</t>
  </si>
  <si>
    <t>P1155</t>
  </si>
  <si>
    <t>P1157</t>
  </si>
  <si>
    <t>P1159</t>
  </si>
  <si>
    <t>P1161</t>
  </si>
  <si>
    <t>P1163</t>
  </si>
  <si>
    <t>P1165</t>
  </si>
  <si>
    <t>P1167</t>
  </si>
  <si>
    <t>P1169</t>
  </si>
  <si>
    <t>P1171</t>
  </si>
  <si>
    <t>P1173</t>
  </si>
  <si>
    <t>P1175</t>
  </si>
  <si>
    <t>P1177</t>
  </si>
  <si>
    <t>P1179</t>
  </si>
  <si>
    <t>P1181</t>
  </si>
  <si>
    <t>P1183</t>
  </si>
  <si>
    <t>P1185</t>
  </si>
  <si>
    <t>P1187</t>
  </si>
  <si>
    <t>P1189</t>
  </si>
  <si>
    <t>P1191</t>
  </si>
  <si>
    <t>P1193</t>
  </si>
  <si>
    <t>P1195</t>
  </si>
  <si>
    <t>P1197</t>
  </si>
  <si>
    <t>P1199</t>
  </si>
  <si>
    <t>P1201</t>
  </si>
  <si>
    <t>P1203</t>
  </si>
  <si>
    <t>P1205</t>
  </si>
  <si>
    <t>P1207</t>
  </si>
  <si>
    <t>P1209</t>
  </si>
  <si>
    <t>P1211</t>
  </si>
  <si>
    <t>P1213</t>
  </si>
  <si>
    <t>P1215</t>
  </si>
  <si>
    <t>P1217</t>
  </si>
  <si>
    <t>P1219</t>
  </si>
  <si>
    <t>P1221</t>
  </si>
  <si>
    <t>P1223</t>
  </si>
  <si>
    <t>P1225</t>
  </si>
  <si>
    <t>P1227</t>
  </si>
  <si>
    <t>P1229</t>
  </si>
  <si>
    <t>P1231</t>
  </si>
  <si>
    <t>P1233</t>
  </si>
  <si>
    <t>P1235</t>
  </si>
  <si>
    <t>P1237</t>
  </si>
  <si>
    <t>P1239</t>
  </si>
  <si>
    <t>P1241</t>
  </si>
  <si>
    <t>P1243</t>
  </si>
  <si>
    <t>P1245</t>
  </si>
  <si>
    <t>P1247</t>
  </si>
  <si>
    <t>P1249</t>
  </si>
  <si>
    <t>P1251</t>
  </si>
  <si>
    <t>P1253</t>
  </si>
  <si>
    <t>P1255</t>
  </si>
  <si>
    <t>P1257</t>
  </si>
  <si>
    <t>P1259</t>
  </si>
  <si>
    <t>P1261</t>
  </si>
  <si>
    <t>P1263</t>
  </si>
  <si>
    <t>P1265</t>
  </si>
  <si>
    <t>P1267</t>
  </si>
  <si>
    <t>P1269</t>
  </si>
  <si>
    <t>P1271</t>
  </si>
  <si>
    <t>P1273</t>
  </si>
  <si>
    <t>P1275</t>
  </si>
  <si>
    <t>P1277</t>
  </si>
  <si>
    <t>P1279</t>
  </si>
  <si>
    <t>P1281</t>
  </si>
  <si>
    <t>P1283</t>
  </si>
  <si>
    <t>P1285</t>
  </si>
  <si>
    <t>P1287</t>
  </si>
  <si>
    <t>P1289</t>
  </si>
  <si>
    <t>P1291</t>
  </si>
  <si>
    <t>P1293</t>
  </si>
  <si>
    <t>P1295</t>
  </si>
  <si>
    <t>P1297</t>
  </si>
  <si>
    <t>P1299</t>
  </si>
  <si>
    <t>P1301</t>
  </si>
  <si>
    <t>P1303</t>
  </si>
  <si>
    <t>P1305</t>
  </si>
  <si>
    <t>P1307</t>
  </si>
  <si>
    <t>P1309</t>
  </si>
  <si>
    <t>Cast iron</t>
  </si>
  <si>
    <t>P1311</t>
  </si>
  <si>
    <t>P1313</t>
  </si>
  <si>
    <t>P1315</t>
  </si>
  <si>
    <t>P1317</t>
  </si>
  <si>
    <t>P1319</t>
  </si>
  <si>
    <t>P1321</t>
  </si>
  <si>
    <t>P1323</t>
  </si>
  <si>
    <t>P1325</t>
  </si>
  <si>
    <t>P1327</t>
  </si>
  <si>
    <t>P1329</t>
  </si>
  <si>
    <t>P1331</t>
  </si>
  <si>
    <t>P1333</t>
  </si>
  <si>
    <t>P1335</t>
  </si>
  <si>
    <t>P1337</t>
  </si>
  <si>
    <t>P1339</t>
  </si>
  <si>
    <t>P1341</t>
  </si>
  <si>
    <t>P1343</t>
  </si>
  <si>
    <t>P1345</t>
  </si>
  <si>
    <t>P1347</t>
  </si>
  <si>
    <t>P1349</t>
  </si>
  <si>
    <t>P1351</t>
  </si>
  <si>
    <t>P1353</t>
  </si>
  <si>
    <t>P1355</t>
  </si>
  <si>
    <t>P1357</t>
  </si>
  <si>
    <t>P1359</t>
  </si>
  <si>
    <t>P1361</t>
  </si>
  <si>
    <t>P1363</t>
  </si>
  <si>
    <t>P1365</t>
  </si>
  <si>
    <t>P1367</t>
  </si>
  <si>
    <t>P1369</t>
  </si>
  <si>
    <t>P1371</t>
  </si>
  <si>
    <t>P1373</t>
  </si>
  <si>
    <t>P1375</t>
  </si>
  <si>
    <t>P1377</t>
  </si>
  <si>
    <t>P1379</t>
  </si>
  <si>
    <t>P1381</t>
  </si>
  <si>
    <t>P1383</t>
  </si>
  <si>
    <t>P1385</t>
  </si>
  <si>
    <t>P1387</t>
  </si>
  <si>
    <t>P1389</t>
  </si>
  <si>
    <t>P1391</t>
  </si>
  <si>
    <t>P1393</t>
  </si>
  <si>
    <t>P1395</t>
  </si>
  <si>
    <t>P1397</t>
  </si>
  <si>
    <t>P1399</t>
  </si>
  <si>
    <t>P1401</t>
  </si>
  <si>
    <t>P1403</t>
  </si>
  <si>
    <t>P1405</t>
  </si>
  <si>
    <t>P1407</t>
  </si>
  <si>
    <t>P1409</t>
  </si>
  <si>
    <t>P1411</t>
  </si>
  <si>
    <t>P1413</t>
  </si>
  <si>
    <t>P1415</t>
  </si>
  <si>
    <t>P1417</t>
  </si>
  <si>
    <t>P1419</t>
  </si>
  <si>
    <t>P1421</t>
  </si>
  <si>
    <t>P1423</t>
  </si>
  <si>
    <t>P1425</t>
  </si>
  <si>
    <t>P1427</t>
  </si>
  <si>
    <t>P1429</t>
  </si>
  <si>
    <t>P1431</t>
  </si>
  <si>
    <t>P1433</t>
  </si>
  <si>
    <t>P1435</t>
  </si>
  <si>
    <t>P1437</t>
  </si>
  <si>
    <t>P1439</t>
  </si>
  <si>
    <t>P1441</t>
  </si>
  <si>
    <t>P1443</t>
  </si>
  <si>
    <t>P1445</t>
  </si>
  <si>
    <t>P1447</t>
  </si>
  <si>
    <t>P1449</t>
  </si>
  <si>
    <t>P1451</t>
  </si>
  <si>
    <t>P1453</t>
  </si>
  <si>
    <t>P1455</t>
  </si>
  <si>
    <t>P1457</t>
  </si>
  <si>
    <t>P1459</t>
  </si>
  <si>
    <t>P1461</t>
  </si>
  <si>
    <t>P1463</t>
  </si>
  <si>
    <t>P1465</t>
  </si>
  <si>
    <t>P1467</t>
  </si>
  <si>
    <t>P1469</t>
  </si>
  <si>
    <t>P1471</t>
  </si>
  <si>
    <t>P1473</t>
  </si>
  <si>
    <t>P1475</t>
  </si>
  <si>
    <t>P1477</t>
  </si>
  <si>
    <t>P1479</t>
  </si>
  <si>
    <t>P1481</t>
  </si>
  <si>
    <t>P1483</t>
  </si>
  <si>
    <t>P1485</t>
  </si>
  <si>
    <t>P1487</t>
  </si>
  <si>
    <t>P1489</t>
  </si>
  <si>
    <t>P1491</t>
  </si>
  <si>
    <t>P1493</t>
  </si>
  <si>
    <t>P1495</t>
  </si>
  <si>
    <t>P1497</t>
  </si>
  <si>
    <t>P1499</t>
  </si>
  <si>
    <t>P1503</t>
  </si>
  <si>
    <t>P1505</t>
  </si>
  <si>
    <t>P1507</t>
  </si>
  <si>
    <t>P1509</t>
  </si>
  <si>
    <t>P1511</t>
  </si>
  <si>
    <t>P1513</t>
  </si>
  <si>
    <t>P1515</t>
  </si>
  <si>
    <t>P1517</t>
  </si>
  <si>
    <t>P1519</t>
  </si>
  <si>
    <t>P1521</t>
  </si>
  <si>
    <t>P1523</t>
  </si>
  <si>
    <t>P1525</t>
  </si>
  <si>
    <t>P1527</t>
  </si>
  <si>
    <t>P1529</t>
  </si>
  <si>
    <t>P1531</t>
  </si>
  <si>
    <t>P1533</t>
  </si>
  <si>
    <t>P1535</t>
  </si>
  <si>
    <t>P1537</t>
  </si>
  <si>
    <t>P1539</t>
  </si>
  <si>
    <t>P1541</t>
  </si>
  <si>
    <t>P1543</t>
  </si>
  <si>
    <t>P1545</t>
  </si>
  <si>
    <t>P1547</t>
  </si>
  <si>
    <t>P1549</t>
  </si>
  <si>
    <t>P1551</t>
  </si>
  <si>
    <t>P1553</t>
  </si>
  <si>
    <t>P1555</t>
  </si>
  <si>
    <t>P1557</t>
  </si>
  <si>
    <t>P1559</t>
  </si>
  <si>
    <t>P1561</t>
  </si>
  <si>
    <t>P_INTERCONNECTION</t>
  </si>
  <si>
    <t>Water Authority Interconnection Pipe</t>
  </si>
  <si>
    <t>P2337</t>
  </si>
  <si>
    <t>RTE 33 Interconnect</t>
  </si>
  <si>
    <t>Hyd Risk</t>
  </si>
  <si>
    <t>Risk_Label</t>
  </si>
  <si>
    <t>wPipes_Nominal_Flow.OBJECTID</t>
  </si>
  <si>
    <t>wPipes_Nominal_Flow.MOID</t>
  </si>
  <si>
    <t>wPipes_Nominal_Flow.MOTYPE</t>
  </si>
  <si>
    <t>wPipes_Nominal_Flow.SELCODE</t>
  </si>
  <si>
    <t>wPipes_Nominal_Flow.DSPCODE</t>
  </si>
  <si>
    <t>wPipes_Nominal_Flow.UDFTYPE</t>
  </si>
  <si>
    <t>wPipes_Nominal_Flow.LDMTYPE</t>
  </si>
  <si>
    <t>wPipes_Nominal_Flow.ID</t>
  </si>
  <si>
    <t>wPipes_Nominal_Flow.DESCRIPT</t>
  </si>
  <si>
    <t>wPipes_Nominal_Flow.YR_INST</t>
  </si>
  <si>
    <t>wPipes_Nominal_Flow.YR_RETIRE</t>
  </si>
  <si>
    <t>wPipes_Nominal_Flow.ZONE</t>
  </si>
  <si>
    <t>wPipes_Nominal_Flow.MATERIAL</t>
  </si>
  <si>
    <t>wPipes_Nominal_Flow.LINING</t>
  </si>
  <si>
    <t>wPipes_Nominal_Flow.COST_ID</t>
  </si>
  <si>
    <t>wPipes_Nominal_Flow.PHASE</t>
  </si>
  <si>
    <t>wPipes_Nominal_Flow.ID_1</t>
  </si>
  <si>
    <t>wPipes_Nominal_Flow.LENGTH</t>
  </si>
  <si>
    <t>wPipes_Nominal_Flow.DIAMETER</t>
  </si>
  <si>
    <t>wPipes_Nominal_Flow.ROUGHNESS</t>
  </si>
  <si>
    <t>wPipes_Nominal_Flow.MINORLOSS</t>
  </si>
  <si>
    <t>wPipes_Nominal_Flow.TOTALIZER</t>
  </si>
  <si>
    <t>wPipes_Nominal_Flow.CHK_VALVE</t>
  </si>
  <si>
    <t>wPipes_Nominal_Flow.ID_12</t>
  </si>
  <si>
    <t>wPipes_Nominal_Flow.DIRECTION</t>
  </si>
  <si>
    <t>wPipes_Nominal_Flow.RUN_DIAM</t>
  </si>
  <si>
    <t>wPipes_Nominal_Flow.RUN_LENGTH</t>
  </si>
  <si>
    <t>wPipes_Nominal_Flow.RUN_ROUGH</t>
  </si>
  <si>
    <t>wPipes_Nominal_Flow.FLOW</t>
  </si>
  <si>
    <t>wPipes_Nominal_Flow.VELOCITY</t>
  </si>
  <si>
    <t>wPipes_Nominal_Flow.HEADLOSS</t>
  </si>
  <si>
    <t>wPipes_Nominal_Flow.HL1000</t>
  </si>
  <si>
    <t>wPipes_Nominal_Flow.STATUS</t>
  </si>
  <si>
    <t>wPipes_Nominal_Flow.MAX_FLOW</t>
  </si>
  <si>
    <t>wPipes_Nominal_Flow.MIN_FLOW</t>
  </si>
  <si>
    <t>wPipes_Nominal_Flow.AVE_FLOW</t>
  </si>
  <si>
    <t>wPipes_Nominal_Flow.MAX_VELOC</t>
  </si>
  <si>
    <t>wPipes_Nominal_Flow.MIN_VELOC</t>
  </si>
  <si>
    <t>wPipes_Nominal_Flow.AVE_VELOC</t>
  </si>
  <si>
    <t>wPipes_Nominal_Flow.MAX_HDLOSS</t>
  </si>
  <si>
    <t>wPipes_Nominal_Flow.MIN_HDLOSS</t>
  </si>
  <si>
    <t>wPipes_Nominal_Flow.AVE_HDLOSS</t>
  </si>
  <si>
    <t>wPipes_Nominal_Flow.SHAPE_Length</t>
  </si>
  <si>
    <t>wPipes_Nominal_Flow.Crtical_Xing</t>
  </si>
  <si>
    <t>wPipes_Nominal_Flow_AddSpatialJoin_1.OBJECTID</t>
  </si>
  <si>
    <t>wPipes_Nominal_Flow_AddSpatialJoin_1.Join_Count</t>
  </si>
  <si>
    <t>wPipes_Nominal_Flow_AddSpatialJoin_1.TARGET_FID</t>
  </si>
  <si>
    <t>wPipes_Nominal_Flow_AddSpatialJoin_1.DIA</t>
  </si>
  <si>
    <t>wPipes_Nominal_Flow_AddSpatialJoin_1.LABEL</t>
  </si>
  <si>
    <t>wPipes_Nominal_Flow_AddSpatialJoin_1.MATERIAL</t>
  </si>
  <si>
    <t>wPipes_Nominal_Flow_AddSpatialJoin_1.NOTES</t>
  </si>
  <si>
    <t>wPipes_Nominal_Flow_AddSpatialJoin_1.START_ID</t>
  </si>
  <si>
    <t>wPipes_Nominal_Flow_AddSpatialJoin_1.START_NODE</t>
  </si>
  <si>
    <t>wPipes_Nominal_Flow_AddSpatialJoin_1.STOP_ID</t>
  </si>
  <si>
    <t>wPipes_Nominal_Flow_AddSpatialJoin_1.STOP_NODE</t>
  </si>
  <si>
    <t>wPipes_Nominal_Flow_AddSpatialJoin_1.INSTR_YR</t>
  </si>
  <si>
    <t>wPipes_Nominal_Flow_AddSpatialJoin_1.CRITICAL_PIPE</t>
  </si>
  <si>
    <t>wPipes_Nominal_Flow_AddSpatialJoin_1.SHAPE_Length</t>
  </si>
  <si>
    <t>L-1</t>
  </si>
  <si>
    <t xml:space="preserve"> </t>
  </si>
  <si>
    <t>H-5</t>
  </si>
  <si>
    <t>J-673</t>
  </si>
  <si>
    <t>L-2</t>
  </si>
  <si>
    <t>H-6</t>
  </si>
  <si>
    <t>J-533</t>
  </si>
  <si>
    <t>L-3</t>
  </si>
  <si>
    <t>H-7</t>
  </si>
  <si>
    <t>J-674</t>
  </si>
  <si>
    <t>L-4</t>
  </si>
  <si>
    <t>H-8</t>
  </si>
  <si>
    <t>J-675</t>
  </si>
  <si>
    <t>L-5</t>
  </si>
  <si>
    <t>H-9</t>
  </si>
  <si>
    <t>J-676</t>
  </si>
  <si>
    <t>L-6</t>
  </si>
  <si>
    <t>H-10</t>
  </si>
  <si>
    <t>J-677</t>
  </si>
  <si>
    <t>L-7</t>
  </si>
  <si>
    <t>H-11</t>
  </si>
  <si>
    <t>J-678</t>
  </si>
  <si>
    <t>L-8</t>
  </si>
  <si>
    <t>H-12</t>
  </si>
  <si>
    <t>J-626</t>
  </si>
  <si>
    <t>Pipes_DWG-127(2)(2)(2)</t>
  </si>
  <si>
    <t>J-679</t>
  </si>
  <si>
    <t>J-540</t>
  </si>
  <si>
    <t>L-10</t>
  </si>
  <si>
    <t>H-14</t>
  </si>
  <si>
    <t>J-591</t>
  </si>
  <si>
    <t>Pipes_DWG-84(2)(2)(1)(1)</t>
  </si>
  <si>
    <t>J-566</t>
  </si>
  <si>
    <t>J-680</t>
  </si>
  <si>
    <t>Pipes_DWG-84(2)(1)(1)</t>
  </si>
  <si>
    <t>J-646</t>
  </si>
  <si>
    <t>J-681</t>
  </si>
  <si>
    <t>Pipes_DWG-84(1)(2)</t>
  </si>
  <si>
    <t>J-682</t>
  </si>
  <si>
    <t>Pipes_DWG-150(1)</t>
  </si>
  <si>
    <t>J-683</t>
  </si>
  <si>
    <t>Pipes_DWG-139</t>
  </si>
  <si>
    <t>J-554</t>
  </si>
  <si>
    <t>J-555</t>
  </si>
  <si>
    <t>Pipes_DWG-120(2)</t>
  </si>
  <si>
    <t>J-684</t>
  </si>
  <si>
    <t>J-589</t>
  </si>
  <si>
    <t>Pipes_DWG-158(1)(1)</t>
  </si>
  <si>
    <t>J-685</t>
  </si>
  <si>
    <t>Pipes_DWG-158(2)</t>
  </si>
  <si>
    <t>J-686</t>
  </si>
  <si>
    <t>J-590</t>
  </si>
  <si>
    <t>L-19</t>
  </si>
  <si>
    <t>H-23</t>
  </si>
  <si>
    <t>J-687</t>
  </si>
  <si>
    <t>L-20</t>
  </si>
  <si>
    <t>H-24</t>
  </si>
  <si>
    <t>J-688</t>
  </si>
  <si>
    <t>L-21</t>
  </si>
  <si>
    <t>H-25</t>
  </si>
  <si>
    <t>J-689</t>
  </si>
  <si>
    <t>L-22</t>
  </si>
  <si>
    <t>H-26</t>
  </si>
  <si>
    <t>J-598</t>
  </si>
  <si>
    <t>L-23</t>
  </si>
  <si>
    <t>H-27</t>
  </si>
  <si>
    <t>J-690</t>
  </si>
  <si>
    <t>L-24</t>
  </si>
  <si>
    <t>H-28</t>
  </si>
  <si>
    <t>J-691</t>
  </si>
  <si>
    <t>L-25</t>
  </si>
  <si>
    <t>H-29</t>
  </si>
  <si>
    <t>J-612</t>
  </si>
  <si>
    <t>L-26</t>
  </si>
  <si>
    <t>H-30</t>
  </si>
  <si>
    <t>J-611</t>
  </si>
  <si>
    <t>L-27</t>
  </si>
  <si>
    <t>H-31</t>
  </si>
  <si>
    <t>J-692</t>
  </si>
  <si>
    <t>L-28</t>
  </si>
  <si>
    <t>H-32</t>
  </si>
  <si>
    <t>J-559</t>
  </si>
  <si>
    <t>L-29</t>
  </si>
  <si>
    <t>H-33</t>
  </si>
  <si>
    <t>J-617</t>
  </si>
  <si>
    <t>L-30</t>
  </si>
  <si>
    <t>H-34</t>
  </si>
  <si>
    <t>J-596</t>
  </si>
  <si>
    <t>L-31</t>
  </si>
  <si>
    <t>H-35</t>
  </si>
  <si>
    <t>J-605</t>
  </si>
  <si>
    <t>L-32</t>
  </si>
  <si>
    <t>H-36</t>
  </si>
  <si>
    <t>J-693</t>
  </si>
  <si>
    <t>Pipes_DWG-172(1)</t>
  </si>
  <si>
    <t>J-607</t>
  </si>
  <si>
    <t>J-694</t>
  </si>
  <si>
    <t>L-34</t>
  </si>
  <si>
    <t>H-38</t>
  </si>
  <si>
    <t>J-695</t>
  </si>
  <si>
    <t>L-35</t>
  </si>
  <si>
    <t>H-39</t>
  </si>
  <si>
    <t>J-696</t>
  </si>
  <si>
    <t>L-36</t>
  </si>
  <si>
    <t>H-40</t>
  </si>
  <si>
    <t>J-697</t>
  </si>
  <si>
    <t>L-37</t>
  </si>
  <si>
    <t>H-41</t>
  </si>
  <si>
    <t>J-698</t>
  </si>
  <si>
    <t>L-38</t>
  </si>
  <si>
    <t>H-42</t>
  </si>
  <si>
    <t>J-699</t>
  </si>
  <si>
    <t>L-39</t>
  </si>
  <si>
    <t>H-43</t>
  </si>
  <si>
    <t>J-563</t>
  </si>
  <si>
    <t>L-40</t>
  </si>
  <si>
    <t>H-44</t>
  </si>
  <si>
    <t>J-700</t>
  </si>
  <si>
    <t>L-41</t>
  </si>
  <si>
    <t>H-45</t>
  </si>
  <si>
    <t>J-701</t>
  </si>
  <si>
    <t>L-42</t>
  </si>
  <si>
    <t>H-46</t>
  </si>
  <si>
    <t>J-702</t>
  </si>
  <si>
    <t>L-43</t>
  </si>
  <si>
    <t>H-47</t>
  </si>
  <si>
    <t>J-527</t>
  </si>
  <si>
    <t>L-44</t>
  </si>
  <si>
    <t>H-48</t>
  </si>
  <si>
    <t>J-703</t>
  </si>
  <si>
    <t>L-45</t>
  </si>
  <si>
    <t>H-49</t>
  </si>
  <si>
    <t>J-704</t>
  </si>
  <si>
    <t>L-46</t>
  </si>
  <si>
    <t>H-50</t>
  </si>
  <si>
    <t>J-553</t>
  </si>
  <si>
    <t>L-47</t>
  </si>
  <si>
    <t>H-51</t>
  </si>
  <si>
    <t>J-705</t>
  </si>
  <si>
    <t>Pipes_DWG-118(2)(1)</t>
  </si>
  <si>
    <t>J-529</t>
  </si>
  <si>
    <t>J-706</t>
  </si>
  <si>
    <t>L-49</t>
  </si>
  <si>
    <t>H-53</t>
  </si>
  <si>
    <t>J-707</t>
  </si>
  <si>
    <t>Pipes_DWG-115(2)(1)</t>
  </si>
  <si>
    <t>J-632</t>
  </si>
  <si>
    <t>J-708</t>
  </si>
  <si>
    <t>Pipes_DWG-115(1)(2)(2)(2)</t>
  </si>
  <si>
    <t>J-709</t>
  </si>
  <si>
    <t>L-52</t>
  </si>
  <si>
    <t>H-56</t>
  </si>
  <si>
    <t>J-710</t>
  </si>
  <si>
    <t>L-53</t>
  </si>
  <si>
    <t>H-57</t>
  </si>
  <si>
    <t>J-711</t>
  </si>
  <si>
    <t>Pipes_DWG-133(2)(2)(2)</t>
  </si>
  <si>
    <t>J-712</t>
  </si>
  <si>
    <t>Pipes_DWG-133(2)(1)</t>
  </si>
  <si>
    <t>J-631</t>
  </si>
  <si>
    <t>J-713</t>
  </si>
  <si>
    <t>L-56</t>
  </si>
  <si>
    <t>H-60</t>
  </si>
  <si>
    <t>J-714</t>
  </si>
  <si>
    <t>Pipes_DWG-160(2)(1)(1)(2)(1)</t>
  </si>
  <si>
    <t>J-718</t>
  </si>
  <si>
    <t>J-716</t>
  </si>
  <si>
    <t>Pipes_DWG-160(2)(1)(2)</t>
  </si>
  <si>
    <t>J-717</t>
  </si>
  <si>
    <t>J-621</t>
  </si>
  <si>
    <t>Pipes_DWG-162(2)(1)</t>
  </si>
  <si>
    <t>J-719</t>
  </si>
  <si>
    <t>J-720</t>
  </si>
  <si>
    <t>Pipes_DWG-162(2)(2)</t>
  </si>
  <si>
    <t>J-637</t>
  </si>
  <si>
    <t>Pipes_DWG-174(1)(1)</t>
  </si>
  <si>
    <t>J-642</t>
  </si>
  <si>
    <t>J-721</t>
  </si>
  <si>
    <t>Pipes_DWG-174(2)</t>
  </si>
  <si>
    <t>J-722</t>
  </si>
  <si>
    <t>J-643</t>
  </si>
  <si>
    <t>Pipes_DWG-161(1)(2)(2)</t>
  </si>
  <si>
    <t>J-723</t>
  </si>
  <si>
    <t>Pipes_DWG-161(1)(2)(1)</t>
  </si>
  <si>
    <t>J-724</t>
  </si>
  <si>
    <t>Pipes_DWG-175(1)</t>
  </si>
  <si>
    <t>J-609</t>
  </si>
  <si>
    <t>J-728</t>
  </si>
  <si>
    <t>Pipes_DWG-161(2)(2)(1)(2)</t>
  </si>
  <si>
    <t>J-726</t>
  </si>
  <si>
    <t>J-727</t>
  </si>
  <si>
    <t>Pipes_DWG-161(2)(2)(2)</t>
  </si>
  <si>
    <t>J-657</t>
  </si>
  <si>
    <t>L-71</t>
  </si>
  <si>
    <t>H-75</t>
  </si>
  <si>
    <t>J-551</t>
  </si>
  <si>
    <t>Pipes_DWG-164(1)(1)</t>
  </si>
  <si>
    <t>J-594</t>
  </si>
  <si>
    <t>J-729</t>
  </si>
  <si>
    <t>Pipes_DWG-135(2)(1)</t>
  </si>
  <si>
    <t>J-593</t>
  </si>
  <si>
    <t>J-730</t>
  </si>
  <si>
    <t>Pipes_DWG-148(1)(2)</t>
  </si>
  <si>
    <t>J-732</t>
  </si>
  <si>
    <t>J-731</t>
  </si>
  <si>
    <t>Pipes_DWG-148(1)(1)</t>
  </si>
  <si>
    <t>J-629</t>
  </si>
  <si>
    <t>Pipes_DWG-176(1)(2)</t>
  </si>
  <si>
    <t>J-733</t>
  </si>
  <si>
    <t>J-659</t>
  </si>
  <si>
    <t>Pipes_DWG-181(2)</t>
  </si>
  <si>
    <t>J-734</t>
  </si>
  <si>
    <t>J-660</t>
  </si>
  <si>
    <t>Pipes_DWG-125(2)(2)</t>
  </si>
  <si>
    <t>J-735</t>
  </si>
  <si>
    <t>Pipes_DWG-125(2)(1)(2)</t>
  </si>
  <si>
    <t>J-736</t>
  </si>
  <si>
    <t>Pipes_DWG-125(1)</t>
  </si>
  <si>
    <t>J-651</t>
  </si>
  <si>
    <t>J-737</t>
  </si>
  <si>
    <t>Pipes_DWG-123(2)(2)(1)</t>
  </si>
  <si>
    <t>J-738</t>
  </si>
  <si>
    <t>Pipes_DWG-123(2)(1)(2)</t>
  </si>
  <si>
    <t>J-739</t>
  </si>
  <si>
    <t>Pipes_DWG-123(1)(1)(2)</t>
  </si>
  <si>
    <t>J-741</t>
  </si>
  <si>
    <t>J-740</t>
  </si>
  <si>
    <t>L-84</t>
  </si>
  <si>
    <t>H-88</t>
  </si>
  <si>
    <t>Pipes_DWG-117(1)(2)</t>
  </si>
  <si>
    <t>J-742</t>
  </si>
  <si>
    <t>J-613</t>
  </si>
  <si>
    <t>Pipes_DWG-169</t>
  </si>
  <si>
    <t>J-519</t>
  </si>
  <si>
    <t>J-520</t>
  </si>
  <si>
    <t>L-87</t>
  </si>
  <si>
    <t>H-91</t>
  </si>
  <si>
    <t>J-743</t>
  </si>
  <si>
    <t>Pipes_DWG-168(1)(2)(2)(2)</t>
  </si>
  <si>
    <t>J-744</t>
  </si>
  <si>
    <t>J-585</t>
  </si>
  <si>
    <t>L-89</t>
  </si>
  <si>
    <t>H-93</t>
  </si>
  <si>
    <t>J-745</t>
  </si>
  <si>
    <t>Pipes_DWG-166(1)(1)(2)(1)</t>
  </si>
  <si>
    <t>J-746</t>
  </si>
  <si>
    <t>J-747</t>
  </si>
  <si>
    <t>L-92</t>
  </si>
  <si>
    <t>H-96</t>
  </si>
  <si>
    <t>J-748</t>
  </si>
  <si>
    <t>Pipes_DWG-166(1)(1)(2)(2)(2)</t>
  </si>
  <si>
    <t>J-749</t>
  </si>
  <si>
    <t>Pipes_DWG-166(2)(2)</t>
  </si>
  <si>
    <t>J-750</t>
  </si>
  <si>
    <t>J-656</t>
  </si>
  <si>
    <t>Pipes_DWG-176(2)(2)(2)(2)(1)</t>
  </si>
  <si>
    <t>J-587</t>
  </si>
  <si>
    <t>J-751</t>
  </si>
  <si>
    <t>P-8</t>
  </si>
  <si>
    <t>J-558</t>
  </si>
  <si>
    <t>J-669</t>
  </si>
  <si>
    <t>P-9</t>
  </si>
  <si>
    <t>J-670</t>
  </si>
  <si>
    <t>J-671</t>
  </si>
  <si>
    <t>P-10</t>
  </si>
  <si>
    <t>J-672</t>
  </si>
  <si>
    <t>Pipes_DWG-9</t>
  </si>
  <si>
    <t>J-536</t>
  </si>
  <si>
    <t>J-537</t>
  </si>
  <si>
    <t>L-12</t>
  </si>
  <si>
    <t>H-16</t>
  </si>
  <si>
    <t>Pipes_DWG-84(2)(2)(2)</t>
  </si>
  <si>
    <t>J-545</t>
  </si>
  <si>
    <t>Pipes_DWG-85</t>
  </si>
  <si>
    <t>J-523</t>
  </si>
  <si>
    <t>J-524</t>
  </si>
  <si>
    <t>Pipes_DWG-107(1)(1)</t>
  </si>
  <si>
    <t>J-541</t>
  </si>
  <si>
    <t>Pipes_DWG-107(2)(1)</t>
  </si>
  <si>
    <t>Pipes_DWG-107(2)(2)</t>
  </si>
  <si>
    <t>Pipes_DWG-108(1)</t>
  </si>
  <si>
    <t>Pipes_DWG-108(2)</t>
  </si>
  <si>
    <t>J-570</t>
  </si>
  <si>
    <t>Pipes_DWG-109(1)</t>
  </si>
  <si>
    <t>Pipes_DWG-109(2)(2)</t>
  </si>
  <si>
    <t>J-628</t>
  </si>
  <si>
    <t>Pipes_DWG-110(1)</t>
  </si>
  <si>
    <t>Pipes_DWG-110(2)(2)</t>
  </si>
  <si>
    <t>Pipes_DWG-112(2)(1)</t>
  </si>
  <si>
    <t>Pipes_DWG-113(1)</t>
  </si>
  <si>
    <t>J-606</t>
  </si>
  <si>
    <t>Pipes_DWG-113(2)</t>
  </si>
  <si>
    <t>J-525</t>
  </si>
  <si>
    <t>Pipes_DWG-114(1)(1)(1)(2)</t>
  </si>
  <si>
    <t>Pipes_DWG-114(1)(1)(2)</t>
  </si>
  <si>
    <t>J-530</t>
  </si>
  <si>
    <t>Pipes_DWG-114(1)(2)(1)</t>
  </si>
  <si>
    <t>Pipes_DWG-114(2)(2)</t>
  </si>
  <si>
    <t>J-625</t>
  </si>
  <si>
    <t>Pipes_DWG-115(1)(2)(1)(1)(2)</t>
  </si>
  <si>
    <t>Pipes_DWG-115(1)(2)(1)(2)</t>
  </si>
  <si>
    <t>Pipes_DWG-115(1)(2)(2)(1)</t>
  </si>
  <si>
    <t>L-51</t>
  </si>
  <si>
    <t>H-55</t>
  </si>
  <si>
    <t>L-50</t>
  </si>
  <si>
    <t>H-54</t>
  </si>
  <si>
    <t>Pipes_DWG-116(1)</t>
  </si>
  <si>
    <t>J-546</t>
  </si>
  <si>
    <t>Pipes_DWG-116(2)</t>
  </si>
  <si>
    <t>J-547</t>
  </si>
  <si>
    <t>Pipes_DWG-118(2)(2)</t>
  </si>
  <si>
    <t>Pipes_DWG-117(1)(1)</t>
  </si>
  <si>
    <t>Pipes_DWG-117(2)(1)</t>
  </si>
  <si>
    <t>J-586</t>
  </si>
  <si>
    <t>Pipes_DWG-117(2)(2)(1)</t>
  </si>
  <si>
    <t>Pipes_DWG-166(1)(1)(1)(1)</t>
  </si>
  <si>
    <t>J-655</t>
  </si>
  <si>
    <t>J-754</t>
  </si>
  <si>
    <t>Pipes_DWG-118(1)(1)</t>
  </si>
  <si>
    <t>J-641</t>
  </si>
  <si>
    <t>Pipes_DWG-119(1)(1)</t>
  </si>
  <si>
    <t>J-597</t>
  </si>
  <si>
    <t>Pipes_DWG-119(1)(2)</t>
  </si>
  <si>
    <t>J-564</t>
  </si>
  <si>
    <t>Pipes_DWG-119(2)(2)</t>
  </si>
  <si>
    <t>L-16</t>
  </si>
  <si>
    <t>H-20</t>
  </si>
  <si>
    <t>Pipes_DWG-121(2)(1)</t>
  </si>
  <si>
    <t>J-634</t>
  </si>
  <si>
    <t>J-603</t>
  </si>
  <si>
    <t>Pipes_DWG-121(2)(2)</t>
  </si>
  <si>
    <t>J-618</t>
  </si>
  <si>
    <t>Pipes_DWG-122(2)</t>
  </si>
  <si>
    <t>J-616</t>
  </si>
  <si>
    <t>Pipes_DWG-123(1)(1)(1)</t>
  </si>
  <si>
    <t>L-83</t>
  </si>
  <si>
    <t>H-87</t>
  </si>
  <si>
    <t>Pipes_DWG-123(1)(2)</t>
  </si>
  <si>
    <t>L-81</t>
  </si>
  <si>
    <t>H-85</t>
  </si>
  <si>
    <t>Pipes_DWG-124(2)</t>
  </si>
  <si>
    <t>J-548</t>
  </si>
  <si>
    <t>ACME</t>
  </si>
  <si>
    <t>L-79</t>
  </si>
  <si>
    <t>H-83</t>
  </si>
  <si>
    <t>L-78</t>
  </si>
  <si>
    <t>H-82</t>
  </si>
  <si>
    <t>Pipes_DWG-126(1)(1)</t>
  </si>
  <si>
    <t>Pipes_DWG-126(1)(2)</t>
  </si>
  <si>
    <t>J-608</t>
  </si>
  <si>
    <t>Pipes_DWG-126(2)(1)</t>
  </si>
  <si>
    <t>J-595</t>
  </si>
  <si>
    <t>Pipes_DWG-127(1)</t>
  </si>
  <si>
    <t>J-647</t>
  </si>
  <si>
    <t>Pipes_DWG-127(2)(1)</t>
  </si>
  <si>
    <t>Pipes_DWG-127(2)(2)(1)</t>
  </si>
  <si>
    <t>L-9</t>
  </si>
  <si>
    <t>H-13</t>
  </si>
  <si>
    <t>Pipes_DWG-130</t>
  </si>
  <si>
    <t>Pipes_DWG-131(1)(2)(1)</t>
  </si>
  <si>
    <t>J-640</t>
  </si>
  <si>
    <t>Pipes_DWG-131(1)(2)(2)(1)(1)</t>
  </si>
  <si>
    <t>Pipes_DWG-131(1)(2)(2)(1)(2)</t>
  </si>
  <si>
    <t>Pipes_DWG-131(1)(2)(2)(2)</t>
  </si>
  <si>
    <t>J-604</t>
  </si>
  <si>
    <t>Pipes_DWG-131(2)(1)(1)</t>
  </si>
  <si>
    <t>Pipes_DWG-131(2)(1)(2)</t>
  </si>
  <si>
    <t>J-639</t>
  </si>
  <si>
    <t>Pipes_DWG-131(2)(2)</t>
  </si>
  <si>
    <t>J-653</t>
  </si>
  <si>
    <t>Pipes_DWG-132</t>
  </si>
  <si>
    <t>Pipes_DWG-133(1)</t>
  </si>
  <si>
    <t>J-582</t>
  </si>
  <si>
    <t>Pipes_DWG-133(2)(2)(1)</t>
  </si>
  <si>
    <t>Pipes_DWG-123(2)(2)(2)</t>
  </si>
  <si>
    <t>Pipes_DWG-135(2)(2)</t>
  </si>
  <si>
    <t>L-15</t>
  </si>
  <si>
    <t>H-19</t>
  </si>
  <si>
    <t>Pipes_DWG-138</t>
  </si>
  <si>
    <t>J-565</t>
  </si>
  <si>
    <t>Pipes_DWG-140</t>
  </si>
  <si>
    <t>J-645</t>
  </si>
  <si>
    <t>Pipes_DWG-141</t>
  </si>
  <si>
    <t>Pipes_DWG-142</t>
  </si>
  <si>
    <t>J-562</t>
  </si>
  <si>
    <t>Pipes_DWG-84(2)(1)(2)</t>
  </si>
  <si>
    <t>Pipes_DWG-144</t>
  </si>
  <si>
    <t>Downtown</t>
  </si>
  <si>
    <t>Pipes_DWG-145</t>
  </si>
  <si>
    <t>J-526</t>
  </si>
  <si>
    <t>Pipes_DWG-147</t>
  </si>
  <si>
    <t>J-528</t>
  </si>
  <si>
    <t>Pipes_DWG-176(1)(1)(1)</t>
  </si>
  <si>
    <t>J-753</t>
  </si>
  <si>
    <t>L-75</t>
  </si>
  <si>
    <t>H-79</t>
  </si>
  <si>
    <t>L-74</t>
  </si>
  <si>
    <t>H-78</t>
  </si>
  <si>
    <t>L-14</t>
  </si>
  <si>
    <t>H-18</t>
  </si>
  <si>
    <t>Pipes_DWG-151(1)(1)(1)(1)</t>
  </si>
  <si>
    <t>J-627</t>
  </si>
  <si>
    <t>J-602</t>
  </si>
  <si>
    <t>Pipes_DWG-151(1)(1)(1)(2)</t>
  </si>
  <si>
    <t>J-601</t>
  </si>
  <si>
    <t>Pipes_DWG-151(1)(1)(2)</t>
  </si>
  <si>
    <t>J-663</t>
  </si>
  <si>
    <t>Pipes_DWG-84(1)(1)</t>
  </si>
  <si>
    <t>J-654</t>
  </si>
  <si>
    <t>Pipes_DWG-152(2)</t>
  </si>
  <si>
    <t>J-644</t>
  </si>
  <si>
    <t>Pipes_DWG-153</t>
  </si>
  <si>
    <t>J-532</t>
  </si>
  <si>
    <t>Pipes_DWG-151(1)(2)</t>
  </si>
  <si>
    <t>J-556</t>
  </si>
  <si>
    <t>Pipes_DWG-156(1)</t>
  </si>
  <si>
    <t>J-534</t>
  </si>
  <si>
    <t>J-572</t>
  </si>
  <si>
    <t>Pipes_DWG-155</t>
  </si>
  <si>
    <t>Pipes_DWG-158(1)(2)</t>
  </si>
  <si>
    <t>L-18</t>
  </si>
  <si>
    <t>H-22</t>
  </si>
  <si>
    <t>Pipes_DWG-159</t>
  </si>
  <si>
    <t>J-636</t>
  </si>
  <si>
    <t>Pipes_DWG-160(2)(1)(1)(1)(1)</t>
  </si>
  <si>
    <t>J-581</t>
  </si>
  <si>
    <t>J-715</t>
  </si>
  <si>
    <t>Pipes_DWG-162(1)</t>
  </si>
  <si>
    <t>Pipes_DWG-161(1)(1)</t>
  </si>
  <si>
    <t>L-66</t>
  </si>
  <si>
    <t>H-70</t>
  </si>
  <si>
    <t>Pipes_DWG-161(2)(2)(1)(1)</t>
  </si>
  <si>
    <t>L-69</t>
  </si>
  <si>
    <t>H-73</t>
  </si>
  <si>
    <t>L-72</t>
  </si>
  <si>
    <t>H-76</t>
  </si>
  <si>
    <t>Pipes_DWG-164(2)</t>
  </si>
  <si>
    <t>J-550</t>
  </si>
  <si>
    <t>J-624</t>
  </si>
  <si>
    <t>Pipes_DWG-164(1)(2)</t>
  </si>
  <si>
    <t>L-90</t>
  </si>
  <si>
    <t>H-94</t>
  </si>
  <si>
    <t>Pipes_DWG-166(1)(1)(1)(2)</t>
  </si>
  <si>
    <t>L-91</t>
  </si>
  <si>
    <t>H-95</t>
  </si>
  <si>
    <t>L-94</t>
  </si>
  <si>
    <t>H-98</t>
  </si>
  <si>
    <t>Pipes_DWG-166(1)(2)</t>
  </si>
  <si>
    <t>J-648</t>
  </si>
  <si>
    <t>Pipes_DWG-168(1)(1)</t>
  </si>
  <si>
    <t>Pipes_DWG-168(2)</t>
  </si>
  <si>
    <t>J-614</t>
  </si>
  <si>
    <t>Pipes_DWG-168(1)(2)(1)</t>
  </si>
  <si>
    <t>Pipes_DWG-170(1)</t>
  </si>
  <si>
    <t>J-543</t>
  </si>
  <si>
    <t>L-33</t>
  </si>
  <si>
    <t>H-37</t>
  </si>
  <si>
    <t>Pipes_DWG-126(2)(2)</t>
  </si>
  <si>
    <t>Pipes_DWG-173</t>
  </si>
  <si>
    <t>L-63</t>
  </si>
  <si>
    <t>H-67</t>
  </si>
  <si>
    <t>Pipes_DWG-176(1)(1)(2)</t>
  </si>
  <si>
    <t>Pipes_DWG-167</t>
  </si>
  <si>
    <t>J-649</t>
  </si>
  <si>
    <t>Pipes_DWG-176(2)(2)(1)</t>
  </si>
  <si>
    <t>J-560</t>
  </si>
  <si>
    <t>Pipes_DWG-176(2)(2)(2)(1)</t>
  </si>
  <si>
    <t>L-95</t>
  </si>
  <si>
    <t>H-99</t>
  </si>
  <si>
    <t>L-77</t>
  </si>
  <si>
    <t>H-81</t>
  </si>
  <si>
    <t>Pipes_DWG-134</t>
  </si>
  <si>
    <t>J-575</t>
  </si>
  <si>
    <t>Pipes_DWG-185(1)(2)(1)</t>
  </si>
  <si>
    <t>J-573</t>
  </si>
  <si>
    <t>Pipes_DWG-185(1)(2)(2)</t>
  </si>
  <si>
    <t>Pipes_DWG-185(2)(1)</t>
  </si>
  <si>
    <t>Pipes_DWG-186(2)(2)</t>
  </si>
  <si>
    <t>Pipes_DWG-178</t>
  </si>
  <si>
    <t>J-635</t>
  </si>
  <si>
    <t>Critical_Pipe</t>
  </si>
  <si>
    <t>Critical_final</t>
  </si>
  <si>
    <t>Condition</t>
  </si>
  <si>
    <t>PipeID</t>
  </si>
  <si>
    <t>Material</t>
  </si>
  <si>
    <t>Age</t>
  </si>
  <si>
    <t>Length</t>
  </si>
  <si>
    <t>Diameter</t>
  </si>
  <si>
    <t>CoF_Value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</si>
</sst>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ya/github/markdown/LEYP_Optimizer_Water/Louisa_LEYP_Conditioner.xlsx" TargetMode="External"/><Relationship Id="rId1" Type="http://schemas.openxmlformats.org/officeDocument/2006/relationships/externalLinkPath" Target="Louisa_LEYP_Conditio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its_Condition"/>
      <sheetName val="Cdel"/>
      <sheetName val="DecayFns"/>
      <sheetName val="LEYP_Input"/>
    </sheetNames>
    <sheetDataSet>
      <sheetData sheetId="0">
        <row r="2">
          <cell r="A2" t="str">
            <v>P787</v>
          </cell>
          <cell r="B2" t="str">
            <v>DI</v>
          </cell>
        </row>
        <row r="3">
          <cell r="A3" t="str">
            <v>P789</v>
          </cell>
          <cell r="B3" t="str">
            <v>DI</v>
          </cell>
        </row>
        <row r="4">
          <cell r="A4" t="str">
            <v>P791</v>
          </cell>
          <cell r="B4" t="str">
            <v>DI</v>
          </cell>
        </row>
        <row r="5">
          <cell r="A5" t="str">
            <v>P793</v>
          </cell>
          <cell r="B5" t="str">
            <v>DI</v>
          </cell>
        </row>
        <row r="6">
          <cell r="A6" t="str">
            <v>P795</v>
          </cell>
          <cell r="B6" t="str">
            <v>DI</v>
          </cell>
        </row>
        <row r="7">
          <cell r="A7" t="str">
            <v>P797</v>
          </cell>
          <cell r="B7" t="str">
            <v>DI</v>
          </cell>
        </row>
        <row r="8">
          <cell r="A8" t="str">
            <v>P799</v>
          </cell>
          <cell r="B8" t="str">
            <v>DI</v>
          </cell>
        </row>
        <row r="9">
          <cell r="A9" t="str">
            <v>P801</v>
          </cell>
          <cell r="B9" t="str">
            <v>DI</v>
          </cell>
        </row>
        <row r="10">
          <cell r="A10" t="str">
            <v>P803</v>
          </cell>
          <cell r="B10" t="str">
            <v>DI</v>
          </cell>
        </row>
        <row r="11">
          <cell r="A11" t="str">
            <v>P805</v>
          </cell>
          <cell r="B11" t="str">
            <v>DI</v>
          </cell>
        </row>
        <row r="12">
          <cell r="A12" t="str">
            <v>P807</v>
          </cell>
          <cell r="B12" t="str">
            <v>DI</v>
          </cell>
        </row>
        <row r="13">
          <cell r="A13" t="str">
            <v>P809</v>
          </cell>
          <cell r="B13" t="str">
            <v>DI</v>
          </cell>
        </row>
        <row r="14">
          <cell r="A14" t="str">
            <v>P811</v>
          </cell>
          <cell r="B14" t="str">
            <v>DI</v>
          </cell>
        </row>
        <row r="15">
          <cell r="A15" t="str">
            <v>P813</v>
          </cell>
          <cell r="B15" t="str">
            <v>DI</v>
          </cell>
        </row>
        <row r="16">
          <cell r="A16" t="str">
            <v>P815</v>
          </cell>
          <cell r="B16" t="str">
            <v>DI</v>
          </cell>
        </row>
        <row r="17">
          <cell r="A17" t="str">
            <v>P817</v>
          </cell>
          <cell r="B17" t="str">
            <v>DI</v>
          </cell>
        </row>
        <row r="18">
          <cell r="A18" t="str">
            <v>P819</v>
          </cell>
          <cell r="B18" t="str">
            <v>DI</v>
          </cell>
        </row>
        <row r="19">
          <cell r="A19" t="str">
            <v>P821</v>
          </cell>
          <cell r="B19" t="str">
            <v>DI</v>
          </cell>
        </row>
        <row r="20">
          <cell r="A20" t="str">
            <v>P823</v>
          </cell>
          <cell r="B20" t="str">
            <v>DI</v>
          </cell>
        </row>
        <row r="21">
          <cell r="A21" t="str">
            <v>P825</v>
          </cell>
          <cell r="B21" t="str">
            <v>DI</v>
          </cell>
        </row>
        <row r="22">
          <cell r="A22" t="str">
            <v>P827</v>
          </cell>
          <cell r="B22" t="str">
            <v>DI</v>
          </cell>
        </row>
        <row r="23">
          <cell r="A23" t="str">
            <v>P829</v>
          </cell>
          <cell r="B23" t="str">
            <v>DI</v>
          </cell>
        </row>
        <row r="24">
          <cell r="A24" t="str">
            <v>P831</v>
          </cell>
          <cell r="B24" t="str">
            <v>DI</v>
          </cell>
        </row>
        <row r="25">
          <cell r="A25" t="str">
            <v>P833</v>
          </cell>
          <cell r="B25" t="str">
            <v>DI</v>
          </cell>
        </row>
        <row r="26">
          <cell r="A26" t="str">
            <v>P835</v>
          </cell>
          <cell r="B26" t="str">
            <v>DI</v>
          </cell>
        </row>
        <row r="27">
          <cell r="A27" t="str">
            <v>P837</v>
          </cell>
          <cell r="B27" t="str">
            <v>DI</v>
          </cell>
        </row>
        <row r="28">
          <cell r="A28" t="str">
            <v>P839</v>
          </cell>
          <cell r="B28" t="str">
            <v>DI</v>
          </cell>
        </row>
        <row r="29">
          <cell r="A29" t="str">
            <v>P841</v>
          </cell>
          <cell r="B29" t="str">
            <v>DI</v>
          </cell>
        </row>
        <row r="30">
          <cell r="A30" t="str">
            <v>P843</v>
          </cell>
          <cell r="B30" t="str">
            <v>DI</v>
          </cell>
        </row>
        <row r="31">
          <cell r="A31" t="str">
            <v>P845</v>
          </cell>
          <cell r="B31" t="str">
            <v>DI</v>
          </cell>
        </row>
        <row r="32">
          <cell r="A32" t="str">
            <v>P847</v>
          </cell>
          <cell r="B32" t="str">
            <v>DI</v>
          </cell>
        </row>
        <row r="33">
          <cell r="A33" t="str">
            <v>P849</v>
          </cell>
          <cell r="B33" t="str">
            <v>DI</v>
          </cell>
        </row>
        <row r="34">
          <cell r="A34" t="str">
            <v>P851</v>
          </cell>
          <cell r="B34" t="str">
            <v>DI</v>
          </cell>
        </row>
        <row r="35">
          <cell r="A35" t="str">
            <v>P853</v>
          </cell>
          <cell r="B35" t="str">
            <v>DI</v>
          </cell>
        </row>
        <row r="36">
          <cell r="A36" t="str">
            <v>P855</v>
          </cell>
          <cell r="B36" t="str">
            <v>DI</v>
          </cell>
        </row>
        <row r="37">
          <cell r="A37" t="str">
            <v>P857</v>
          </cell>
          <cell r="B37" t="str">
            <v>DI</v>
          </cell>
        </row>
        <row r="38">
          <cell r="A38" t="str">
            <v>P859</v>
          </cell>
          <cell r="B38" t="str">
            <v>DI</v>
          </cell>
        </row>
        <row r="39">
          <cell r="A39" t="str">
            <v>P861</v>
          </cell>
          <cell r="B39" t="str">
            <v>DI</v>
          </cell>
        </row>
        <row r="40">
          <cell r="A40" t="str">
            <v>P863</v>
          </cell>
          <cell r="B40" t="str">
            <v>DI</v>
          </cell>
        </row>
        <row r="41">
          <cell r="A41" t="str">
            <v>P865</v>
          </cell>
          <cell r="B41" t="str">
            <v>DI</v>
          </cell>
        </row>
        <row r="42">
          <cell r="A42" t="str">
            <v>P867</v>
          </cell>
          <cell r="B42" t="str">
            <v>DI</v>
          </cell>
        </row>
        <row r="43">
          <cell r="A43" t="str">
            <v>P869</v>
          </cell>
          <cell r="B43" t="str">
            <v>DI</v>
          </cell>
        </row>
        <row r="44">
          <cell r="A44" t="str">
            <v>P871</v>
          </cell>
          <cell r="B44" t="str">
            <v>DI</v>
          </cell>
        </row>
        <row r="45">
          <cell r="A45" t="str">
            <v>P873</v>
          </cell>
          <cell r="B45" t="str">
            <v>DI</v>
          </cell>
        </row>
        <row r="46">
          <cell r="A46" t="str">
            <v>P875</v>
          </cell>
          <cell r="B46" t="str">
            <v>DI</v>
          </cell>
        </row>
        <row r="47">
          <cell r="A47" t="str">
            <v>P877</v>
          </cell>
          <cell r="B47" t="str">
            <v>DI</v>
          </cell>
        </row>
        <row r="48">
          <cell r="A48" t="str">
            <v>P879</v>
          </cell>
          <cell r="B48" t="str">
            <v>DI</v>
          </cell>
        </row>
        <row r="49">
          <cell r="A49" t="str">
            <v>P881</v>
          </cell>
          <cell r="B49" t="str">
            <v>DI</v>
          </cell>
        </row>
        <row r="50">
          <cell r="A50" t="str">
            <v>P883</v>
          </cell>
          <cell r="B50" t="str">
            <v>DI</v>
          </cell>
        </row>
        <row r="51">
          <cell r="A51" t="str">
            <v>P885</v>
          </cell>
          <cell r="B51" t="str">
            <v>DI</v>
          </cell>
        </row>
        <row r="52">
          <cell r="A52" t="str">
            <v>P887</v>
          </cell>
          <cell r="B52" t="str">
            <v>DI</v>
          </cell>
        </row>
        <row r="53">
          <cell r="A53" t="str">
            <v>P889</v>
          </cell>
          <cell r="B53" t="str">
            <v>DI</v>
          </cell>
        </row>
        <row r="54">
          <cell r="A54" t="str">
            <v>P891</v>
          </cell>
          <cell r="B54" t="str">
            <v>DI</v>
          </cell>
        </row>
        <row r="55">
          <cell r="A55" t="str">
            <v>P893</v>
          </cell>
          <cell r="B55" t="str">
            <v>DI</v>
          </cell>
        </row>
        <row r="56">
          <cell r="A56" t="str">
            <v>P895</v>
          </cell>
          <cell r="B56" t="str">
            <v>DI</v>
          </cell>
        </row>
        <row r="57">
          <cell r="A57" t="str">
            <v>P897</v>
          </cell>
          <cell r="B57" t="str">
            <v>DI</v>
          </cell>
        </row>
        <row r="58">
          <cell r="A58" t="str">
            <v>P899</v>
          </cell>
          <cell r="B58" t="str">
            <v>DI</v>
          </cell>
        </row>
        <row r="59">
          <cell r="A59" t="str">
            <v>P901</v>
          </cell>
          <cell r="B59" t="str">
            <v>DI</v>
          </cell>
        </row>
        <row r="60">
          <cell r="A60" t="str">
            <v>P903</v>
          </cell>
          <cell r="B60" t="str">
            <v>DI</v>
          </cell>
        </row>
        <row r="61">
          <cell r="A61" t="str">
            <v>P905</v>
          </cell>
          <cell r="B61" t="str">
            <v>DI</v>
          </cell>
        </row>
        <row r="62">
          <cell r="A62" t="str">
            <v>P907</v>
          </cell>
          <cell r="B62" t="str">
            <v>DI</v>
          </cell>
        </row>
        <row r="63">
          <cell r="A63" t="str">
            <v>P909</v>
          </cell>
          <cell r="B63" t="str">
            <v>DI</v>
          </cell>
        </row>
        <row r="64">
          <cell r="A64" t="str">
            <v>P911</v>
          </cell>
          <cell r="B64" t="str">
            <v>DI</v>
          </cell>
        </row>
        <row r="65">
          <cell r="A65" t="str">
            <v>P913</v>
          </cell>
          <cell r="B65" t="str">
            <v>DI</v>
          </cell>
        </row>
        <row r="66">
          <cell r="A66" t="str">
            <v>P915</v>
          </cell>
          <cell r="B66" t="str">
            <v>DI</v>
          </cell>
        </row>
        <row r="67">
          <cell r="A67" t="str">
            <v>P917</v>
          </cell>
          <cell r="B67" t="str">
            <v>DI</v>
          </cell>
        </row>
        <row r="68">
          <cell r="A68" t="str">
            <v>P919</v>
          </cell>
          <cell r="B68" t="str">
            <v>DI</v>
          </cell>
        </row>
        <row r="69">
          <cell r="A69" t="str">
            <v>P921</v>
          </cell>
          <cell r="B69" t="str">
            <v>DI</v>
          </cell>
        </row>
        <row r="70">
          <cell r="A70" t="str">
            <v>P923</v>
          </cell>
          <cell r="B70" t="str">
            <v>DI</v>
          </cell>
        </row>
        <row r="71">
          <cell r="A71" t="str">
            <v>P925</v>
          </cell>
          <cell r="B71" t="str">
            <v>DI</v>
          </cell>
        </row>
        <row r="72">
          <cell r="A72" t="str">
            <v>P927</v>
          </cell>
          <cell r="B72" t="str">
            <v>DI</v>
          </cell>
        </row>
        <row r="73">
          <cell r="A73" t="str">
            <v>P929</v>
          </cell>
          <cell r="B73" t="str">
            <v>DI</v>
          </cell>
        </row>
        <row r="74">
          <cell r="A74" t="str">
            <v>P931</v>
          </cell>
          <cell r="B74" t="str">
            <v>DI</v>
          </cell>
        </row>
        <row r="75">
          <cell r="A75" t="str">
            <v>P933</v>
          </cell>
          <cell r="B75" t="str">
            <v>DI</v>
          </cell>
        </row>
        <row r="76">
          <cell r="A76" t="str">
            <v>P935</v>
          </cell>
          <cell r="B76" t="str">
            <v>DI</v>
          </cell>
        </row>
        <row r="77">
          <cell r="A77" t="str">
            <v>P937</v>
          </cell>
          <cell r="B77" t="str">
            <v>DI</v>
          </cell>
        </row>
        <row r="78">
          <cell r="A78" t="str">
            <v>P939</v>
          </cell>
          <cell r="B78" t="str">
            <v>DI</v>
          </cell>
        </row>
        <row r="79">
          <cell r="A79" t="str">
            <v>P941</v>
          </cell>
          <cell r="B79" t="str">
            <v>DI</v>
          </cell>
        </row>
        <row r="80">
          <cell r="A80" t="str">
            <v>P943</v>
          </cell>
          <cell r="B80" t="str">
            <v>DI</v>
          </cell>
        </row>
        <row r="81">
          <cell r="A81" t="str">
            <v>P945</v>
          </cell>
          <cell r="B81" t="str">
            <v>DI</v>
          </cell>
        </row>
        <row r="82">
          <cell r="A82" t="str">
            <v>P947</v>
          </cell>
          <cell r="B82" t="str">
            <v>DI</v>
          </cell>
        </row>
        <row r="83">
          <cell r="A83" t="str">
            <v>P949</v>
          </cell>
          <cell r="B83" t="str">
            <v>DI</v>
          </cell>
        </row>
        <row r="84">
          <cell r="A84" t="str">
            <v>P951</v>
          </cell>
          <cell r="B84" t="str">
            <v>DI</v>
          </cell>
        </row>
        <row r="85">
          <cell r="A85" t="str">
            <v>P953</v>
          </cell>
          <cell r="B85" t="str">
            <v>DI</v>
          </cell>
        </row>
        <row r="86">
          <cell r="A86" t="str">
            <v>P955</v>
          </cell>
          <cell r="B86" t="str">
            <v>DI</v>
          </cell>
        </row>
        <row r="87">
          <cell r="A87" t="str">
            <v>P957</v>
          </cell>
          <cell r="B87" t="str">
            <v>DI</v>
          </cell>
        </row>
        <row r="88">
          <cell r="A88" t="str">
            <v>P959</v>
          </cell>
          <cell r="B88" t="str">
            <v>DI</v>
          </cell>
        </row>
        <row r="89">
          <cell r="A89" t="str">
            <v>P961</v>
          </cell>
          <cell r="B89" t="str">
            <v>DI</v>
          </cell>
        </row>
        <row r="90">
          <cell r="A90" t="str">
            <v>P963</v>
          </cell>
          <cell r="B90" t="str">
            <v>DI</v>
          </cell>
        </row>
        <row r="91">
          <cell r="A91" t="str">
            <v>P965</v>
          </cell>
          <cell r="B91" t="str">
            <v>DI</v>
          </cell>
        </row>
        <row r="92">
          <cell r="A92" t="str">
            <v>P967</v>
          </cell>
          <cell r="B92" t="str">
            <v>DI</v>
          </cell>
        </row>
        <row r="93">
          <cell r="A93" t="str">
            <v>P969</v>
          </cell>
          <cell r="B93" t="str">
            <v>DI</v>
          </cell>
        </row>
        <row r="94">
          <cell r="A94" t="str">
            <v>P971</v>
          </cell>
          <cell r="B94" t="str">
            <v>DI</v>
          </cell>
        </row>
        <row r="95">
          <cell r="A95" t="str">
            <v>P973</v>
          </cell>
          <cell r="B95" t="str">
            <v>DI</v>
          </cell>
        </row>
        <row r="96">
          <cell r="A96" t="str">
            <v>P975</v>
          </cell>
          <cell r="B96" t="str">
            <v>DI</v>
          </cell>
        </row>
        <row r="97">
          <cell r="A97" t="str">
            <v>P977</v>
          </cell>
          <cell r="B97" t="str">
            <v>GI</v>
          </cell>
        </row>
        <row r="98">
          <cell r="A98" t="str">
            <v>P979</v>
          </cell>
          <cell r="B98" t="str">
            <v>GI</v>
          </cell>
        </row>
        <row r="99">
          <cell r="A99" t="str">
            <v>P981</v>
          </cell>
          <cell r="B99" t="str">
            <v>GI</v>
          </cell>
        </row>
        <row r="100">
          <cell r="A100" t="str">
            <v>P983</v>
          </cell>
          <cell r="B100" t="str">
            <v>DI</v>
          </cell>
        </row>
        <row r="101">
          <cell r="A101" t="str">
            <v>P985</v>
          </cell>
          <cell r="B101" t="str">
            <v>PVC</v>
          </cell>
        </row>
        <row r="102">
          <cell r="A102" t="str">
            <v>P987</v>
          </cell>
          <cell r="B102" t="str">
            <v>CI</v>
          </cell>
        </row>
        <row r="103">
          <cell r="A103" t="str">
            <v>P989</v>
          </cell>
          <cell r="B103" t="str">
            <v>CI</v>
          </cell>
        </row>
        <row r="104">
          <cell r="A104" t="str">
            <v>P991</v>
          </cell>
          <cell r="B104" t="str">
            <v>PVC</v>
          </cell>
        </row>
        <row r="105">
          <cell r="A105" t="str">
            <v>P993</v>
          </cell>
          <cell r="B105" t="str">
            <v>PVC</v>
          </cell>
        </row>
        <row r="106">
          <cell r="A106" t="str">
            <v>P995</v>
          </cell>
          <cell r="B106" t="str">
            <v>PVC</v>
          </cell>
        </row>
        <row r="107">
          <cell r="A107" t="str">
            <v>P997</v>
          </cell>
          <cell r="B107" t="str">
            <v>PVC</v>
          </cell>
        </row>
        <row r="108">
          <cell r="A108" t="str">
            <v>P999</v>
          </cell>
          <cell r="B108" t="str">
            <v>PVC</v>
          </cell>
        </row>
        <row r="109">
          <cell r="A109" t="str">
            <v>P1001</v>
          </cell>
          <cell r="B109" t="str">
            <v>PVC</v>
          </cell>
        </row>
        <row r="110">
          <cell r="A110" t="str">
            <v>P1003</v>
          </cell>
          <cell r="B110" t="str">
            <v>PVC</v>
          </cell>
        </row>
        <row r="111">
          <cell r="A111" t="str">
            <v>P1005</v>
          </cell>
          <cell r="B111" t="str">
            <v>AC</v>
          </cell>
        </row>
        <row r="112">
          <cell r="A112" t="str">
            <v>P1007</v>
          </cell>
          <cell r="B112" t="str">
            <v>DI</v>
          </cell>
        </row>
        <row r="113">
          <cell r="A113" t="str">
            <v>P1009</v>
          </cell>
          <cell r="B113" t="str">
            <v>DI</v>
          </cell>
        </row>
        <row r="114">
          <cell r="A114" t="str">
            <v>P1011</v>
          </cell>
          <cell r="B114" t="str">
            <v>AC</v>
          </cell>
        </row>
        <row r="115">
          <cell r="A115" t="str">
            <v>P1013</v>
          </cell>
          <cell r="B115" t="str">
            <v>AC</v>
          </cell>
        </row>
        <row r="116">
          <cell r="A116" t="str">
            <v>P1015</v>
          </cell>
          <cell r="B116" t="str">
            <v>CI</v>
          </cell>
        </row>
        <row r="117">
          <cell r="A117" t="str">
            <v>P1017</v>
          </cell>
          <cell r="B117" t="str">
            <v>CI</v>
          </cell>
        </row>
        <row r="118">
          <cell r="A118" t="str">
            <v>P1019</v>
          </cell>
          <cell r="B118" t="str">
            <v>CI</v>
          </cell>
        </row>
        <row r="119">
          <cell r="A119" t="str">
            <v>P1021</v>
          </cell>
          <cell r="B119" t="str">
            <v>AC</v>
          </cell>
        </row>
        <row r="120">
          <cell r="A120" t="str">
            <v>P1023</v>
          </cell>
          <cell r="B120" t="str">
            <v>AC</v>
          </cell>
        </row>
        <row r="121">
          <cell r="A121" t="str">
            <v>P1025</v>
          </cell>
          <cell r="B121" t="str">
            <v>AC</v>
          </cell>
        </row>
        <row r="122">
          <cell r="A122" t="str">
            <v>P1027</v>
          </cell>
          <cell r="B122" t="str">
            <v>AC</v>
          </cell>
        </row>
        <row r="123">
          <cell r="A123" t="str">
            <v>P1029</v>
          </cell>
          <cell r="B123" t="str">
            <v>AC</v>
          </cell>
        </row>
        <row r="124">
          <cell r="A124" t="str">
            <v>P1031</v>
          </cell>
          <cell r="B124" t="str">
            <v>AC</v>
          </cell>
        </row>
        <row r="125">
          <cell r="A125" t="str">
            <v>P1033</v>
          </cell>
          <cell r="B125" t="str">
            <v>AC</v>
          </cell>
        </row>
        <row r="126">
          <cell r="A126" t="str">
            <v>P1035</v>
          </cell>
          <cell r="B126" t="str">
            <v>AC</v>
          </cell>
        </row>
        <row r="127">
          <cell r="A127" t="str">
            <v>P1037</v>
          </cell>
          <cell r="B127" t="str">
            <v>AC</v>
          </cell>
        </row>
        <row r="128">
          <cell r="A128" t="str">
            <v>P1039</v>
          </cell>
          <cell r="B128" t="str">
            <v>AC</v>
          </cell>
        </row>
        <row r="129">
          <cell r="A129" t="str">
            <v>P1041</v>
          </cell>
          <cell r="B129" t="str">
            <v>AC</v>
          </cell>
        </row>
        <row r="130">
          <cell r="A130" t="str">
            <v>P1045</v>
          </cell>
          <cell r="B130" t="str">
            <v>Default</v>
          </cell>
        </row>
        <row r="131">
          <cell r="A131" t="str">
            <v>P1047</v>
          </cell>
          <cell r="B131" t="str">
            <v>AC</v>
          </cell>
        </row>
        <row r="132">
          <cell r="A132" t="str">
            <v>P1049</v>
          </cell>
          <cell r="B132" t="str">
            <v>CI</v>
          </cell>
        </row>
        <row r="133">
          <cell r="A133" t="str">
            <v>P1051</v>
          </cell>
          <cell r="B133" t="str">
            <v>CI</v>
          </cell>
        </row>
        <row r="134">
          <cell r="A134" t="str">
            <v>P1053</v>
          </cell>
          <cell r="B134" t="str">
            <v>CI</v>
          </cell>
        </row>
        <row r="135">
          <cell r="A135" t="str">
            <v>P1055</v>
          </cell>
          <cell r="B135" t="str">
            <v>CI</v>
          </cell>
        </row>
        <row r="136">
          <cell r="A136" t="str">
            <v>P1057</v>
          </cell>
          <cell r="B136" t="str">
            <v>CI</v>
          </cell>
        </row>
        <row r="137">
          <cell r="A137" t="str">
            <v>P1059</v>
          </cell>
          <cell r="B137" t="str">
            <v>CI</v>
          </cell>
        </row>
        <row r="138">
          <cell r="A138" t="str">
            <v>P1061</v>
          </cell>
          <cell r="B138" t="str">
            <v>CI</v>
          </cell>
        </row>
        <row r="139">
          <cell r="A139" t="str">
            <v>P1063</v>
          </cell>
          <cell r="B139" t="str">
            <v>CI</v>
          </cell>
        </row>
        <row r="140">
          <cell r="A140" t="str">
            <v>P1065</v>
          </cell>
          <cell r="B140" t="str">
            <v>CI</v>
          </cell>
        </row>
        <row r="141">
          <cell r="A141" t="str">
            <v>P1067</v>
          </cell>
          <cell r="B141" t="str">
            <v>CI</v>
          </cell>
        </row>
        <row r="142">
          <cell r="A142" t="str">
            <v>P1069</v>
          </cell>
          <cell r="B142" t="str">
            <v>CI</v>
          </cell>
        </row>
        <row r="143">
          <cell r="A143" t="str">
            <v>P1071</v>
          </cell>
          <cell r="B143" t="str">
            <v>CI</v>
          </cell>
        </row>
        <row r="144">
          <cell r="A144" t="str">
            <v>P1073</v>
          </cell>
          <cell r="B144" t="str">
            <v>CI</v>
          </cell>
        </row>
        <row r="145">
          <cell r="A145" t="str">
            <v>P1075</v>
          </cell>
          <cell r="B145" t="str">
            <v>CI</v>
          </cell>
        </row>
        <row r="146">
          <cell r="A146" t="str">
            <v>P1077</v>
          </cell>
          <cell r="B146" t="str">
            <v>CI</v>
          </cell>
        </row>
        <row r="147">
          <cell r="A147" t="str">
            <v>P1079</v>
          </cell>
          <cell r="B147" t="str">
            <v>CI</v>
          </cell>
        </row>
        <row r="148">
          <cell r="A148" t="str">
            <v>P1081</v>
          </cell>
          <cell r="B148" t="str">
            <v>CI</v>
          </cell>
        </row>
        <row r="149">
          <cell r="A149" t="str">
            <v>P1083</v>
          </cell>
          <cell r="B149" t="str">
            <v>CI</v>
          </cell>
        </row>
        <row r="150">
          <cell r="A150" t="str">
            <v>P1085</v>
          </cell>
          <cell r="B150" t="str">
            <v>CI</v>
          </cell>
        </row>
        <row r="151">
          <cell r="A151" t="str">
            <v>P1087</v>
          </cell>
          <cell r="B151" t="str">
            <v>CI</v>
          </cell>
        </row>
        <row r="152">
          <cell r="A152" t="str">
            <v>P1089</v>
          </cell>
          <cell r="B152" t="str">
            <v>AC</v>
          </cell>
        </row>
        <row r="153">
          <cell r="A153" t="str">
            <v>P1091</v>
          </cell>
          <cell r="B153" t="str">
            <v>AC</v>
          </cell>
        </row>
        <row r="154">
          <cell r="A154" t="str">
            <v>P1093</v>
          </cell>
          <cell r="B154" t="str">
            <v>AC</v>
          </cell>
        </row>
        <row r="155">
          <cell r="A155" t="str">
            <v>P1095</v>
          </cell>
          <cell r="B155" t="str">
            <v>AC</v>
          </cell>
        </row>
        <row r="156">
          <cell r="A156" t="str">
            <v>P1097</v>
          </cell>
          <cell r="B156" t="str">
            <v>AC</v>
          </cell>
        </row>
        <row r="157">
          <cell r="A157" t="str">
            <v>P1099</v>
          </cell>
          <cell r="B157" t="str">
            <v>AC</v>
          </cell>
        </row>
        <row r="158">
          <cell r="A158" t="str">
            <v>P1101</v>
          </cell>
          <cell r="B158" t="str">
            <v>AC</v>
          </cell>
        </row>
        <row r="159">
          <cell r="A159" t="str">
            <v>P1103</v>
          </cell>
          <cell r="B159" t="str">
            <v>AC</v>
          </cell>
        </row>
        <row r="160">
          <cell r="A160" t="str">
            <v>P1105</v>
          </cell>
          <cell r="B160" t="str">
            <v>CI</v>
          </cell>
        </row>
        <row r="161">
          <cell r="A161" t="str">
            <v>P1107</v>
          </cell>
          <cell r="B161" t="str">
            <v>CI</v>
          </cell>
        </row>
        <row r="162">
          <cell r="A162" t="str">
            <v>P1109</v>
          </cell>
          <cell r="B162" t="str">
            <v>CI</v>
          </cell>
        </row>
        <row r="163">
          <cell r="A163" t="str">
            <v>P1111</v>
          </cell>
          <cell r="B163" t="str">
            <v>PVC</v>
          </cell>
        </row>
        <row r="164">
          <cell r="A164" t="str">
            <v>P1113</v>
          </cell>
          <cell r="B164" t="str">
            <v>PVC</v>
          </cell>
        </row>
        <row r="165">
          <cell r="A165" t="str">
            <v>P1115</v>
          </cell>
          <cell r="B165" t="str">
            <v>PVC</v>
          </cell>
        </row>
        <row r="166">
          <cell r="A166" t="str">
            <v>P1117</v>
          </cell>
          <cell r="B166" t="str">
            <v>PVC</v>
          </cell>
        </row>
        <row r="167">
          <cell r="A167" t="str">
            <v>P1119</v>
          </cell>
          <cell r="B167" t="str">
            <v>PVC</v>
          </cell>
        </row>
        <row r="168">
          <cell r="A168" t="str">
            <v>P1121</v>
          </cell>
          <cell r="B168" t="str">
            <v>PVC</v>
          </cell>
        </row>
        <row r="169">
          <cell r="A169" t="str">
            <v>P1123</v>
          </cell>
          <cell r="B169" t="str">
            <v>PVC</v>
          </cell>
        </row>
        <row r="170">
          <cell r="A170" t="str">
            <v>P1125</v>
          </cell>
          <cell r="B170" t="str">
            <v>AC</v>
          </cell>
        </row>
        <row r="171">
          <cell r="A171" t="str">
            <v>P1127</v>
          </cell>
          <cell r="B171" t="str">
            <v>AC</v>
          </cell>
        </row>
        <row r="172">
          <cell r="A172" t="str">
            <v>P1129</v>
          </cell>
          <cell r="B172" t="str">
            <v>AC</v>
          </cell>
        </row>
        <row r="173">
          <cell r="A173" t="str">
            <v>P1131</v>
          </cell>
          <cell r="B173" t="str">
            <v>AC</v>
          </cell>
        </row>
        <row r="174">
          <cell r="A174" t="str">
            <v>P1133</v>
          </cell>
          <cell r="B174" t="str">
            <v>AC</v>
          </cell>
        </row>
        <row r="175">
          <cell r="A175" t="str">
            <v>P1135</v>
          </cell>
          <cell r="B175" t="str">
            <v>AC</v>
          </cell>
        </row>
        <row r="176">
          <cell r="A176" t="str">
            <v>P1137</v>
          </cell>
          <cell r="B176" t="str">
            <v>CI</v>
          </cell>
        </row>
        <row r="177">
          <cell r="A177" t="str">
            <v>P1139</v>
          </cell>
          <cell r="B177" t="str">
            <v>CI</v>
          </cell>
        </row>
        <row r="178">
          <cell r="A178" t="str">
            <v>P1141</v>
          </cell>
          <cell r="B178" t="str">
            <v>CI</v>
          </cell>
        </row>
        <row r="179">
          <cell r="A179" t="str">
            <v>P1143</v>
          </cell>
          <cell r="B179" t="str">
            <v>CI</v>
          </cell>
        </row>
        <row r="180">
          <cell r="A180" t="str">
            <v>P1145</v>
          </cell>
          <cell r="B180" t="str">
            <v>CI</v>
          </cell>
        </row>
        <row r="181">
          <cell r="A181" t="str">
            <v>P1147</v>
          </cell>
          <cell r="B181" t="str">
            <v>AC</v>
          </cell>
        </row>
        <row r="182">
          <cell r="A182" t="str">
            <v>P1149</v>
          </cell>
          <cell r="B182" t="str">
            <v>AC</v>
          </cell>
        </row>
        <row r="183">
          <cell r="A183" t="str">
            <v>P1151</v>
          </cell>
          <cell r="B183" t="str">
            <v>AC</v>
          </cell>
        </row>
        <row r="184">
          <cell r="A184" t="str">
            <v>P1153</v>
          </cell>
          <cell r="B184" t="str">
            <v>AC</v>
          </cell>
        </row>
        <row r="185">
          <cell r="A185" t="str">
            <v>P1155</v>
          </cell>
          <cell r="B185" t="str">
            <v>AC</v>
          </cell>
        </row>
        <row r="186">
          <cell r="A186" t="str">
            <v>P1157</v>
          </cell>
          <cell r="B186" t="str">
            <v>AC</v>
          </cell>
        </row>
        <row r="187">
          <cell r="A187" t="str">
            <v>P1159</v>
          </cell>
          <cell r="B187" t="str">
            <v>AC</v>
          </cell>
        </row>
        <row r="188">
          <cell r="A188" t="str">
            <v>P1161</v>
          </cell>
          <cell r="B188" t="str">
            <v>GI</v>
          </cell>
        </row>
        <row r="189">
          <cell r="A189" t="str">
            <v>P1163</v>
          </cell>
          <cell r="B189" t="str">
            <v>AC</v>
          </cell>
        </row>
        <row r="190">
          <cell r="A190" t="str">
            <v>P1165</v>
          </cell>
          <cell r="B190" t="str">
            <v>AC</v>
          </cell>
        </row>
        <row r="191">
          <cell r="A191" t="str">
            <v>P1167</v>
          </cell>
          <cell r="B191" t="str">
            <v>AC</v>
          </cell>
        </row>
        <row r="192">
          <cell r="A192" t="str">
            <v>P1169</v>
          </cell>
          <cell r="B192" t="str">
            <v>AC</v>
          </cell>
        </row>
        <row r="193">
          <cell r="A193" t="str">
            <v>P1171</v>
          </cell>
          <cell r="B193" t="str">
            <v>AC</v>
          </cell>
        </row>
        <row r="194">
          <cell r="A194" t="str">
            <v>P1173</v>
          </cell>
          <cell r="B194" t="str">
            <v>AC</v>
          </cell>
        </row>
        <row r="195">
          <cell r="A195" t="str">
            <v>P1175</v>
          </cell>
          <cell r="B195" t="str">
            <v>AC</v>
          </cell>
        </row>
        <row r="196">
          <cell r="A196" t="str">
            <v>P1177</v>
          </cell>
          <cell r="B196" t="str">
            <v>AC</v>
          </cell>
        </row>
        <row r="197">
          <cell r="A197" t="str">
            <v>P1179</v>
          </cell>
          <cell r="B197" t="str">
            <v>AC</v>
          </cell>
        </row>
        <row r="198">
          <cell r="A198" t="str">
            <v>P1181</v>
          </cell>
          <cell r="B198" t="str">
            <v>AC</v>
          </cell>
        </row>
        <row r="199">
          <cell r="A199" t="str">
            <v>P1183</v>
          </cell>
          <cell r="B199" t="str">
            <v>AC</v>
          </cell>
        </row>
        <row r="200">
          <cell r="A200" t="str">
            <v>P1185</v>
          </cell>
          <cell r="B200" t="str">
            <v>AC</v>
          </cell>
        </row>
        <row r="201">
          <cell r="A201" t="str">
            <v>P1187</v>
          </cell>
          <cell r="B201" t="str">
            <v>AC</v>
          </cell>
        </row>
        <row r="202">
          <cell r="A202" t="str">
            <v>P1189</v>
          </cell>
          <cell r="B202" t="str">
            <v>AC</v>
          </cell>
        </row>
        <row r="203">
          <cell r="A203" t="str">
            <v>P1191</v>
          </cell>
          <cell r="B203" t="str">
            <v>AC</v>
          </cell>
        </row>
        <row r="204">
          <cell r="A204" t="str">
            <v>P1193</v>
          </cell>
          <cell r="B204" t="str">
            <v>AC</v>
          </cell>
        </row>
        <row r="205">
          <cell r="A205" t="str">
            <v>P1195</v>
          </cell>
          <cell r="B205" t="str">
            <v>AC</v>
          </cell>
        </row>
        <row r="206">
          <cell r="A206" t="str">
            <v>P1197</v>
          </cell>
          <cell r="B206" t="str">
            <v>AC</v>
          </cell>
        </row>
        <row r="207">
          <cell r="A207" t="str">
            <v>P1199</v>
          </cell>
          <cell r="B207" t="str">
            <v>AC</v>
          </cell>
        </row>
        <row r="208">
          <cell r="A208" t="str">
            <v>P1201</v>
          </cell>
          <cell r="B208" t="str">
            <v>AC</v>
          </cell>
        </row>
        <row r="209">
          <cell r="A209" t="str">
            <v>P1203</v>
          </cell>
          <cell r="B209" t="str">
            <v>AC</v>
          </cell>
        </row>
        <row r="210">
          <cell r="A210" t="str">
            <v>P1205</v>
          </cell>
          <cell r="B210" t="str">
            <v>AC</v>
          </cell>
        </row>
        <row r="211">
          <cell r="A211" t="str">
            <v>P1207</v>
          </cell>
          <cell r="B211" t="str">
            <v>AC</v>
          </cell>
        </row>
        <row r="212">
          <cell r="A212" t="str">
            <v>P1209</v>
          </cell>
          <cell r="B212" t="str">
            <v>AC</v>
          </cell>
        </row>
        <row r="213">
          <cell r="A213" t="str">
            <v>P1211</v>
          </cell>
          <cell r="B213" t="str">
            <v>AC</v>
          </cell>
        </row>
        <row r="214">
          <cell r="A214" t="str">
            <v>P1213</v>
          </cell>
          <cell r="B214" t="str">
            <v>AC</v>
          </cell>
        </row>
        <row r="215">
          <cell r="A215" t="str">
            <v>P1215</v>
          </cell>
          <cell r="B215" t="str">
            <v>AC</v>
          </cell>
        </row>
        <row r="216">
          <cell r="A216" t="str">
            <v>P1217</v>
          </cell>
          <cell r="B216" t="str">
            <v>AC</v>
          </cell>
        </row>
        <row r="217">
          <cell r="A217" t="str">
            <v>P1219</v>
          </cell>
          <cell r="B217" t="str">
            <v>AC</v>
          </cell>
        </row>
        <row r="218">
          <cell r="A218" t="str">
            <v>P1221</v>
          </cell>
          <cell r="B218" t="str">
            <v>AC</v>
          </cell>
        </row>
        <row r="219">
          <cell r="A219" t="str">
            <v>P1223</v>
          </cell>
          <cell r="B219" t="str">
            <v>AC</v>
          </cell>
        </row>
        <row r="220">
          <cell r="A220" t="str">
            <v>P1225</v>
          </cell>
          <cell r="B220" t="str">
            <v>AC</v>
          </cell>
        </row>
        <row r="221">
          <cell r="A221" t="str">
            <v>P1227</v>
          </cell>
          <cell r="B221" t="str">
            <v>AC</v>
          </cell>
        </row>
        <row r="222">
          <cell r="A222" t="str">
            <v>P1229</v>
          </cell>
          <cell r="B222" t="str">
            <v>AC</v>
          </cell>
        </row>
        <row r="223">
          <cell r="A223" t="str">
            <v>P1231</v>
          </cell>
          <cell r="B223" t="str">
            <v>AC</v>
          </cell>
        </row>
        <row r="224">
          <cell r="A224" t="str">
            <v>P1233</v>
          </cell>
          <cell r="B224" t="str">
            <v>AC</v>
          </cell>
        </row>
        <row r="225">
          <cell r="A225" t="str">
            <v>P1235</v>
          </cell>
          <cell r="B225" t="str">
            <v>AC</v>
          </cell>
        </row>
        <row r="226">
          <cell r="A226" t="str">
            <v>P1237</v>
          </cell>
          <cell r="B226" t="str">
            <v>AC</v>
          </cell>
        </row>
        <row r="227">
          <cell r="A227" t="str">
            <v>P1239</v>
          </cell>
          <cell r="B227" t="str">
            <v>AC</v>
          </cell>
        </row>
        <row r="228">
          <cell r="A228" t="str">
            <v>P1241</v>
          </cell>
          <cell r="B228" t="str">
            <v>AC</v>
          </cell>
        </row>
        <row r="229">
          <cell r="A229" t="str">
            <v>P1243</v>
          </cell>
          <cell r="B229" t="str">
            <v>AC</v>
          </cell>
        </row>
        <row r="230">
          <cell r="A230" t="str">
            <v>P1245</v>
          </cell>
          <cell r="B230" t="str">
            <v>AC</v>
          </cell>
        </row>
        <row r="231">
          <cell r="A231" t="str">
            <v>P1247</v>
          </cell>
          <cell r="B231" t="str">
            <v>AC</v>
          </cell>
        </row>
        <row r="232">
          <cell r="A232" t="str">
            <v>P1249</v>
          </cell>
          <cell r="B232" t="str">
            <v>AC</v>
          </cell>
        </row>
        <row r="233">
          <cell r="A233" t="str">
            <v>P1251</v>
          </cell>
          <cell r="B233" t="str">
            <v>PVC</v>
          </cell>
        </row>
        <row r="234">
          <cell r="A234" t="str">
            <v>P1253</v>
          </cell>
          <cell r="B234" t="str">
            <v>PVC</v>
          </cell>
        </row>
        <row r="235">
          <cell r="A235" t="str">
            <v>P1255</v>
          </cell>
          <cell r="B235" t="str">
            <v>PVC</v>
          </cell>
        </row>
        <row r="236">
          <cell r="A236" t="str">
            <v>P1257</v>
          </cell>
          <cell r="B236" t="str">
            <v>PVC</v>
          </cell>
        </row>
        <row r="237">
          <cell r="A237" t="str">
            <v>P1259</v>
          </cell>
          <cell r="B237" t="str">
            <v>PVC</v>
          </cell>
        </row>
        <row r="238">
          <cell r="A238" t="str">
            <v>P1261</v>
          </cell>
          <cell r="B238" t="str">
            <v>PVC</v>
          </cell>
        </row>
        <row r="239">
          <cell r="A239" t="str">
            <v>P1263</v>
          </cell>
          <cell r="B239" t="str">
            <v>PVC</v>
          </cell>
        </row>
        <row r="240">
          <cell r="A240" t="str">
            <v>P1265</v>
          </cell>
          <cell r="B240" t="str">
            <v>PVC</v>
          </cell>
        </row>
        <row r="241">
          <cell r="A241" t="str">
            <v>P1267</v>
          </cell>
          <cell r="B241" t="str">
            <v>PVC</v>
          </cell>
        </row>
        <row r="242">
          <cell r="A242" t="str">
            <v>P1269</v>
          </cell>
          <cell r="B242" t="str">
            <v>PVC</v>
          </cell>
        </row>
        <row r="243">
          <cell r="A243" t="str">
            <v>P1271</v>
          </cell>
          <cell r="B243" t="str">
            <v>PVC</v>
          </cell>
        </row>
        <row r="244">
          <cell r="A244" t="str">
            <v>P1273</v>
          </cell>
          <cell r="B244" t="str">
            <v>PVC</v>
          </cell>
        </row>
        <row r="245">
          <cell r="A245" t="str">
            <v>P1275</v>
          </cell>
          <cell r="B245" t="str">
            <v>GI</v>
          </cell>
        </row>
        <row r="246">
          <cell r="A246" t="str">
            <v>P1277</v>
          </cell>
          <cell r="B246" t="str">
            <v>GI</v>
          </cell>
        </row>
        <row r="247">
          <cell r="A247" t="str">
            <v>P1279</v>
          </cell>
          <cell r="B247" t="str">
            <v>GI</v>
          </cell>
        </row>
        <row r="248">
          <cell r="A248" t="str">
            <v>P1281</v>
          </cell>
          <cell r="B248" t="str">
            <v>PVC</v>
          </cell>
        </row>
        <row r="249">
          <cell r="A249" t="str">
            <v>P1283</v>
          </cell>
          <cell r="B249" t="str">
            <v>PVC</v>
          </cell>
        </row>
        <row r="250">
          <cell r="A250" t="str">
            <v>P1285</v>
          </cell>
          <cell r="B250" t="str">
            <v>PVC</v>
          </cell>
        </row>
        <row r="251">
          <cell r="A251" t="str">
            <v>P1287</v>
          </cell>
          <cell r="B251" t="str">
            <v>GI</v>
          </cell>
        </row>
        <row r="252">
          <cell r="A252" t="str">
            <v>P1289</v>
          </cell>
          <cell r="B252" t="str">
            <v>GI</v>
          </cell>
        </row>
        <row r="253">
          <cell r="A253" t="str">
            <v>P1291</v>
          </cell>
          <cell r="B253" t="str">
            <v>GI</v>
          </cell>
        </row>
        <row r="254">
          <cell r="A254" t="str">
            <v>P1293</v>
          </cell>
          <cell r="B254" t="str">
            <v>GI</v>
          </cell>
        </row>
        <row r="255">
          <cell r="A255" t="str">
            <v>P1295</v>
          </cell>
          <cell r="B255" t="str">
            <v>GI</v>
          </cell>
        </row>
        <row r="256">
          <cell r="A256" t="str">
            <v>P1297</v>
          </cell>
          <cell r="B256" t="str">
            <v>GI</v>
          </cell>
        </row>
        <row r="257">
          <cell r="A257" t="str">
            <v>P1299</v>
          </cell>
          <cell r="B257" t="str">
            <v>PVC</v>
          </cell>
        </row>
        <row r="258">
          <cell r="A258" t="str">
            <v>P1301</v>
          </cell>
          <cell r="B258" t="str">
            <v>PVC</v>
          </cell>
        </row>
        <row r="259">
          <cell r="A259" t="str">
            <v>P1303</v>
          </cell>
          <cell r="B259" t="str">
            <v>CI</v>
          </cell>
        </row>
        <row r="260">
          <cell r="A260" t="str">
            <v>P1305</v>
          </cell>
          <cell r="B260" t="str">
            <v>CI</v>
          </cell>
        </row>
        <row r="261">
          <cell r="A261" t="str">
            <v>P1307</v>
          </cell>
          <cell r="B261" t="str">
            <v>PVC</v>
          </cell>
        </row>
        <row r="262">
          <cell r="A262" t="str">
            <v>P1309</v>
          </cell>
          <cell r="B262" t="str">
            <v>CI</v>
          </cell>
        </row>
        <row r="263">
          <cell r="A263" t="str">
            <v>P1311</v>
          </cell>
          <cell r="B263" t="str">
            <v>Default</v>
          </cell>
        </row>
        <row r="264">
          <cell r="A264" t="str">
            <v>P1313</v>
          </cell>
          <cell r="B264" t="str">
            <v>CI</v>
          </cell>
        </row>
        <row r="265">
          <cell r="A265" t="str">
            <v>P1315</v>
          </cell>
          <cell r="B265" t="str">
            <v>DI</v>
          </cell>
        </row>
        <row r="266">
          <cell r="A266" t="str">
            <v>P1317</v>
          </cell>
          <cell r="B266" t="str">
            <v>DI</v>
          </cell>
        </row>
        <row r="267">
          <cell r="A267" t="str">
            <v>P1319</v>
          </cell>
          <cell r="B267" t="str">
            <v>AC</v>
          </cell>
        </row>
        <row r="268">
          <cell r="A268" t="str">
            <v>P1321</v>
          </cell>
          <cell r="B268" t="str">
            <v>AC</v>
          </cell>
        </row>
        <row r="269">
          <cell r="A269" t="str">
            <v>P1323</v>
          </cell>
          <cell r="B269" t="str">
            <v>AC</v>
          </cell>
        </row>
        <row r="270">
          <cell r="A270" t="str">
            <v>P1325</v>
          </cell>
          <cell r="B270" t="str">
            <v>AC</v>
          </cell>
        </row>
        <row r="271">
          <cell r="A271" t="str">
            <v>P1327</v>
          </cell>
          <cell r="B271" t="str">
            <v>DI</v>
          </cell>
        </row>
        <row r="272">
          <cell r="A272" t="str">
            <v>P1329</v>
          </cell>
          <cell r="B272" t="str">
            <v>DI</v>
          </cell>
        </row>
        <row r="273">
          <cell r="A273" t="str">
            <v>P1331</v>
          </cell>
          <cell r="B273" t="str">
            <v>DI</v>
          </cell>
        </row>
        <row r="274">
          <cell r="A274" t="str">
            <v>P1333</v>
          </cell>
          <cell r="B274" t="str">
            <v>DI</v>
          </cell>
        </row>
        <row r="275">
          <cell r="A275" t="str">
            <v>P1335</v>
          </cell>
          <cell r="B275" t="str">
            <v>DI</v>
          </cell>
        </row>
        <row r="276">
          <cell r="A276" t="str">
            <v>P1337</v>
          </cell>
          <cell r="B276" t="str">
            <v>DI</v>
          </cell>
        </row>
        <row r="277">
          <cell r="A277" t="str">
            <v>P1339</v>
          </cell>
          <cell r="B277" t="str">
            <v>DI</v>
          </cell>
        </row>
        <row r="278">
          <cell r="A278" t="str">
            <v>P1341</v>
          </cell>
          <cell r="B278" t="str">
            <v>DI</v>
          </cell>
        </row>
        <row r="279">
          <cell r="A279" t="str">
            <v>P1343</v>
          </cell>
          <cell r="B279" t="str">
            <v>DI</v>
          </cell>
        </row>
        <row r="280">
          <cell r="A280" t="str">
            <v>P1345</v>
          </cell>
          <cell r="B280" t="str">
            <v>DI</v>
          </cell>
        </row>
        <row r="281">
          <cell r="A281" t="str">
            <v>P1347</v>
          </cell>
          <cell r="B281" t="str">
            <v>DI</v>
          </cell>
        </row>
        <row r="282">
          <cell r="A282" t="str">
            <v>P1349</v>
          </cell>
          <cell r="B282" t="str">
            <v>DI</v>
          </cell>
        </row>
        <row r="283">
          <cell r="A283" t="str">
            <v>P1351</v>
          </cell>
          <cell r="B283" t="str">
            <v>DI</v>
          </cell>
        </row>
        <row r="284">
          <cell r="A284" t="str">
            <v>P1353</v>
          </cell>
          <cell r="B284" t="str">
            <v>DI</v>
          </cell>
        </row>
        <row r="285">
          <cell r="A285" t="str">
            <v>P1355</v>
          </cell>
          <cell r="B285" t="str">
            <v>DI</v>
          </cell>
        </row>
        <row r="286">
          <cell r="A286" t="str">
            <v>P1357</v>
          </cell>
          <cell r="B286" t="str">
            <v>DI</v>
          </cell>
        </row>
        <row r="287">
          <cell r="A287" t="str">
            <v>P1359</v>
          </cell>
          <cell r="B287" t="str">
            <v>DI</v>
          </cell>
        </row>
        <row r="288">
          <cell r="A288" t="str">
            <v>P1361</v>
          </cell>
          <cell r="B288" t="str">
            <v>DI</v>
          </cell>
        </row>
        <row r="289">
          <cell r="A289" t="str">
            <v>P1363</v>
          </cell>
          <cell r="B289" t="str">
            <v>DI</v>
          </cell>
        </row>
        <row r="290">
          <cell r="A290" t="str">
            <v>P1365</v>
          </cell>
          <cell r="B290" t="str">
            <v>DI</v>
          </cell>
        </row>
        <row r="291">
          <cell r="A291" t="str">
            <v>P1367</v>
          </cell>
          <cell r="B291" t="str">
            <v>DI</v>
          </cell>
        </row>
        <row r="292">
          <cell r="A292" t="str">
            <v>P1369</v>
          </cell>
          <cell r="B292" t="str">
            <v>DI</v>
          </cell>
        </row>
        <row r="293">
          <cell r="A293" t="str">
            <v>P1371</v>
          </cell>
          <cell r="B293" t="str">
            <v>DI</v>
          </cell>
        </row>
        <row r="294">
          <cell r="A294" t="str">
            <v>P1373</v>
          </cell>
          <cell r="B294" t="str">
            <v>DI</v>
          </cell>
        </row>
        <row r="295">
          <cell r="A295" t="str">
            <v>P1375</v>
          </cell>
          <cell r="B295" t="str">
            <v>DI</v>
          </cell>
        </row>
        <row r="296">
          <cell r="A296" t="str">
            <v>P1377</v>
          </cell>
          <cell r="B296" t="str">
            <v>DI</v>
          </cell>
        </row>
        <row r="297">
          <cell r="A297" t="str">
            <v>P1379</v>
          </cell>
          <cell r="B297" t="str">
            <v>DI</v>
          </cell>
        </row>
        <row r="298">
          <cell r="A298" t="str">
            <v>P1381</v>
          </cell>
          <cell r="B298" t="str">
            <v>DI</v>
          </cell>
        </row>
        <row r="299">
          <cell r="A299" t="str">
            <v>P1383</v>
          </cell>
          <cell r="B299" t="str">
            <v>DI</v>
          </cell>
        </row>
        <row r="300">
          <cell r="A300" t="str">
            <v>P1385</v>
          </cell>
          <cell r="B300" t="str">
            <v>DI</v>
          </cell>
        </row>
        <row r="301">
          <cell r="A301" t="str">
            <v>P1387</v>
          </cell>
          <cell r="B301" t="str">
            <v>DI</v>
          </cell>
        </row>
        <row r="302">
          <cell r="A302" t="str">
            <v>P1389</v>
          </cell>
          <cell r="B302" t="str">
            <v>DI</v>
          </cell>
        </row>
        <row r="303">
          <cell r="A303" t="str">
            <v>P1391</v>
          </cell>
          <cell r="B303" t="str">
            <v>DI</v>
          </cell>
        </row>
        <row r="304">
          <cell r="A304" t="str">
            <v>P1393</v>
          </cell>
          <cell r="B304" t="str">
            <v>DI</v>
          </cell>
        </row>
        <row r="305">
          <cell r="A305" t="str">
            <v>P1395</v>
          </cell>
          <cell r="B305" t="str">
            <v>DI</v>
          </cell>
        </row>
        <row r="306">
          <cell r="A306" t="str">
            <v>P1397</v>
          </cell>
          <cell r="B306" t="str">
            <v>DI</v>
          </cell>
        </row>
        <row r="307">
          <cell r="A307" t="str">
            <v>P1399</v>
          </cell>
          <cell r="B307" t="str">
            <v>DI</v>
          </cell>
        </row>
        <row r="308">
          <cell r="A308" t="str">
            <v>P1401</v>
          </cell>
          <cell r="B308" t="str">
            <v>DI</v>
          </cell>
        </row>
        <row r="309">
          <cell r="A309" t="str">
            <v>P1403</v>
          </cell>
          <cell r="B309" t="str">
            <v>DI</v>
          </cell>
        </row>
        <row r="310">
          <cell r="A310" t="str">
            <v>P1405</v>
          </cell>
          <cell r="B310" t="str">
            <v>DI</v>
          </cell>
        </row>
        <row r="311">
          <cell r="A311" t="str">
            <v>P1407</v>
          </cell>
          <cell r="B311" t="str">
            <v>DI</v>
          </cell>
        </row>
        <row r="312">
          <cell r="A312" t="str">
            <v>P1409</v>
          </cell>
          <cell r="B312" t="str">
            <v>DI</v>
          </cell>
        </row>
        <row r="313">
          <cell r="A313" t="str">
            <v>P1411</v>
          </cell>
          <cell r="B313" t="str">
            <v>DI</v>
          </cell>
        </row>
        <row r="314">
          <cell r="A314" t="str">
            <v>P1413</v>
          </cell>
          <cell r="B314" t="str">
            <v>DI</v>
          </cell>
        </row>
        <row r="315">
          <cell r="A315" t="str">
            <v>P1415</v>
          </cell>
          <cell r="B315" t="str">
            <v>DI</v>
          </cell>
        </row>
        <row r="316">
          <cell r="A316" t="str">
            <v>P1417</v>
          </cell>
          <cell r="B316" t="str">
            <v>DI</v>
          </cell>
        </row>
        <row r="317">
          <cell r="A317" t="str">
            <v>P1419</v>
          </cell>
          <cell r="B317" t="str">
            <v>DI</v>
          </cell>
        </row>
        <row r="318">
          <cell r="A318" t="str">
            <v>P1421</v>
          </cell>
          <cell r="B318" t="str">
            <v>DI</v>
          </cell>
        </row>
        <row r="319">
          <cell r="A319" t="str">
            <v>P1423</v>
          </cell>
          <cell r="B319" t="str">
            <v>DI</v>
          </cell>
        </row>
        <row r="320">
          <cell r="A320" t="str">
            <v>P1425</v>
          </cell>
          <cell r="B320" t="str">
            <v>DI</v>
          </cell>
        </row>
        <row r="321">
          <cell r="A321" t="str">
            <v>P1427</v>
          </cell>
          <cell r="B321" t="str">
            <v>DI</v>
          </cell>
        </row>
        <row r="322">
          <cell r="A322" t="str">
            <v>P1429</v>
          </cell>
          <cell r="B322" t="str">
            <v>DI</v>
          </cell>
        </row>
        <row r="323">
          <cell r="A323" t="str">
            <v>P1431</v>
          </cell>
          <cell r="B323" t="str">
            <v>DI</v>
          </cell>
        </row>
        <row r="324">
          <cell r="A324" t="str">
            <v>P1433</v>
          </cell>
          <cell r="B324" t="str">
            <v>DI</v>
          </cell>
        </row>
        <row r="325">
          <cell r="A325" t="str">
            <v>P1435</v>
          </cell>
          <cell r="B325" t="str">
            <v>DI</v>
          </cell>
        </row>
        <row r="326">
          <cell r="A326" t="str">
            <v>P1437</v>
          </cell>
          <cell r="B326" t="str">
            <v>DI</v>
          </cell>
        </row>
        <row r="327">
          <cell r="A327" t="str">
            <v>P1439</v>
          </cell>
          <cell r="B327" t="str">
            <v>DI</v>
          </cell>
        </row>
        <row r="328">
          <cell r="A328" t="str">
            <v>P1441</v>
          </cell>
          <cell r="B328" t="str">
            <v>DI</v>
          </cell>
        </row>
        <row r="329">
          <cell r="A329" t="str">
            <v>P1443</v>
          </cell>
          <cell r="B329" t="str">
            <v>DI</v>
          </cell>
        </row>
        <row r="330">
          <cell r="A330" t="str">
            <v>P1445</v>
          </cell>
          <cell r="B330" t="str">
            <v>DI</v>
          </cell>
        </row>
        <row r="331">
          <cell r="A331" t="str">
            <v>P1447</v>
          </cell>
          <cell r="B331" t="str">
            <v>DI</v>
          </cell>
        </row>
        <row r="332">
          <cell r="A332" t="str">
            <v>P1449</v>
          </cell>
          <cell r="B332" t="str">
            <v>DI</v>
          </cell>
        </row>
        <row r="333">
          <cell r="A333" t="str">
            <v>P1451</v>
          </cell>
          <cell r="B333" t="str">
            <v>DI</v>
          </cell>
        </row>
        <row r="334">
          <cell r="A334" t="str">
            <v>P1453</v>
          </cell>
          <cell r="B334" t="str">
            <v>DI</v>
          </cell>
        </row>
        <row r="335">
          <cell r="A335" t="str">
            <v>P1455</v>
          </cell>
          <cell r="B335" t="str">
            <v>DI</v>
          </cell>
        </row>
        <row r="336">
          <cell r="A336" t="str">
            <v>P1457</v>
          </cell>
          <cell r="B336" t="str">
            <v>DI</v>
          </cell>
        </row>
        <row r="337">
          <cell r="A337" t="str">
            <v>P1459</v>
          </cell>
          <cell r="B337" t="str">
            <v>DI</v>
          </cell>
        </row>
        <row r="338">
          <cell r="A338" t="str">
            <v>P1461</v>
          </cell>
          <cell r="B338" t="str">
            <v>DI</v>
          </cell>
        </row>
        <row r="339">
          <cell r="A339" t="str">
            <v>P1463</v>
          </cell>
          <cell r="B339" t="str">
            <v>DI</v>
          </cell>
        </row>
        <row r="340">
          <cell r="A340" t="str">
            <v>P1465</v>
          </cell>
          <cell r="B340" t="str">
            <v>DI</v>
          </cell>
        </row>
        <row r="341">
          <cell r="A341" t="str">
            <v>P1467</v>
          </cell>
          <cell r="B341" t="str">
            <v>DI</v>
          </cell>
        </row>
        <row r="342">
          <cell r="A342" t="str">
            <v>P1469</v>
          </cell>
          <cell r="B342" t="str">
            <v>DI</v>
          </cell>
        </row>
        <row r="343">
          <cell r="A343" t="str">
            <v>P1471</v>
          </cell>
          <cell r="B343" t="str">
            <v>DI</v>
          </cell>
        </row>
        <row r="344">
          <cell r="A344" t="str">
            <v>P1473</v>
          </cell>
          <cell r="B344" t="str">
            <v>DI</v>
          </cell>
        </row>
        <row r="345">
          <cell r="A345" t="str">
            <v>P1475</v>
          </cell>
          <cell r="B345" t="str">
            <v>DI</v>
          </cell>
        </row>
        <row r="346">
          <cell r="A346" t="str">
            <v>P1477</v>
          </cell>
          <cell r="B346" t="str">
            <v>DI</v>
          </cell>
        </row>
        <row r="347">
          <cell r="A347" t="str">
            <v>P1479</v>
          </cell>
          <cell r="B347" t="str">
            <v>DI</v>
          </cell>
        </row>
        <row r="348">
          <cell r="A348" t="str">
            <v>P1481</v>
          </cell>
          <cell r="B348" t="str">
            <v>DI</v>
          </cell>
        </row>
        <row r="349">
          <cell r="A349" t="str">
            <v>P1483</v>
          </cell>
          <cell r="B349" t="str">
            <v>DI</v>
          </cell>
        </row>
        <row r="350">
          <cell r="A350" t="str">
            <v>P1485</v>
          </cell>
          <cell r="B350" t="str">
            <v>DI</v>
          </cell>
        </row>
        <row r="351">
          <cell r="A351" t="str">
            <v>P1487</v>
          </cell>
          <cell r="B351" t="str">
            <v>DI</v>
          </cell>
        </row>
        <row r="352">
          <cell r="A352" t="str">
            <v>P1489</v>
          </cell>
          <cell r="B352" t="str">
            <v>DI</v>
          </cell>
        </row>
        <row r="353">
          <cell r="A353" t="str">
            <v>P1491</v>
          </cell>
          <cell r="B353" t="str">
            <v>DI</v>
          </cell>
        </row>
        <row r="354">
          <cell r="A354" t="str">
            <v>P1493</v>
          </cell>
          <cell r="B354" t="str">
            <v>DI</v>
          </cell>
        </row>
        <row r="355">
          <cell r="A355" t="str">
            <v>P1495</v>
          </cell>
          <cell r="B355" t="str">
            <v>DI</v>
          </cell>
        </row>
        <row r="356">
          <cell r="A356" t="str">
            <v>P1497</v>
          </cell>
          <cell r="B356" t="str">
            <v>DI</v>
          </cell>
        </row>
        <row r="357">
          <cell r="A357" t="str">
            <v>P1499</v>
          </cell>
          <cell r="B357" t="str">
            <v>Default</v>
          </cell>
        </row>
        <row r="358">
          <cell r="A358" t="str">
            <v>P1503</v>
          </cell>
          <cell r="B358" t="str">
            <v>DI</v>
          </cell>
        </row>
        <row r="359">
          <cell r="A359" t="str">
            <v>P1505</v>
          </cell>
          <cell r="B359" t="str">
            <v>DI</v>
          </cell>
        </row>
        <row r="360">
          <cell r="A360" t="str">
            <v>P1507</v>
          </cell>
          <cell r="B360" t="str">
            <v>DI</v>
          </cell>
        </row>
        <row r="361">
          <cell r="A361" t="str">
            <v>P1509</v>
          </cell>
          <cell r="B361" t="str">
            <v>DI</v>
          </cell>
        </row>
        <row r="362">
          <cell r="A362" t="str">
            <v>P1511</v>
          </cell>
          <cell r="B362" t="str">
            <v>DI</v>
          </cell>
        </row>
        <row r="363">
          <cell r="A363" t="str">
            <v>P1513</v>
          </cell>
          <cell r="B363" t="str">
            <v>DI</v>
          </cell>
        </row>
        <row r="364">
          <cell r="A364" t="str">
            <v>P1515</v>
          </cell>
          <cell r="B364" t="str">
            <v>DI</v>
          </cell>
        </row>
        <row r="365">
          <cell r="A365" t="str">
            <v>P1517</v>
          </cell>
          <cell r="B365" t="str">
            <v>DI</v>
          </cell>
        </row>
        <row r="366">
          <cell r="A366" t="str">
            <v>P1519</v>
          </cell>
          <cell r="B366" t="str">
            <v>DI</v>
          </cell>
        </row>
        <row r="367">
          <cell r="A367" t="str">
            <v>P1521</v>
          </cell>
          <cell r="B367" t="str">
            <v>DI</v>
          </cell>
        </row>
        <row r="368">
          <cell r="A368" t="str">
            <v>P1523</v>
          </cell>
          <cell r="B368" t="str">
            <v>DI</v>
          </cell>
        </row>
        <row r="369">
          <cell r="A369" t="str">
            <v>P1525</v>
          </cell>
          <cell r="B369" t="str">
            <v>DI</v>
          </cell>
        </row>
        <row r="370">
          <cell r="A370" t="str">
            <v>P1527</v>
          </cell>
          <cell r="B370" t="str">
            <v>DI</v>
          </cell>
        </row>
        <row r="371">
          <cell r="A371" t="str">
            <v>P1529</v>
          </cell>
          <cell r="B371" t="str">
            <v>DI</v>
          </cell>
        </row>
        <row r="372">
          <cell r="A372" t="str">
            <v>P1531</v>
          </cell>
          <cell r="B372" t="str">
            <v>DI</v>
          </cell>
        </row>
        <row r="373">
          <cell r="A373" t="str">
            <v>P1533</v>
          </cell>
          <cell r="B373" t="str">
            <v>DI</v>
          </cell>
        </row>
        <row r="374">
          <cell r="A374" t="str">
            <v>P1535</v>
          </cell>
          <cell r="B374" t="str">
            <v>DI</v>
          </cell>
        </row>
        <row r="375">
          <cell r="A375" t="str">
            <v>P1537</v>
          </cell>
          <cell r="B375" t="str">
            <v>PVC</v>
          </cell>
        </row>
        <row r="376">
          <cell r="A376" t="str">
            <v>P1539</v>
          </cell>
          <cell r="B376" t="str">
            <v>DI</v>
          </cell>
        </row>
        <row r="377">
          <cell r="A377" t="str">
            <v>P1541</v>
          </cell>
          <cell r="B377" t="str">
            <v>DI</v>
          </cell>
        </row>
        <row r="378">
          <cell r="A378" t="str">
            <v>P1543</v>
          </cell>
          <cell r="B378" t="str">
            <v>GI</v>
          </cell>
        </row>
        <row r="379">
          <cell r="A379" t="str">
            <v>P1545</v>
          </cell>
          <cell r="B379" t="str">
            <v>GI</v>
          </cell>
        </row>
        <row r="380">
          <cell r="A380" t="str">
            <v>P1547</v>
          </cell>
          <cell r="B380" t="str">
            <v>GI</v>
          </cell>
        </row>
        <row r="381">
          <cell r="A381" t="str">
            <v>P1549</v>
          </cell>
          <cell r="B381" t="str">
            <v>GI</v>
          </cell>
        </row>
        <row r="382">
          <cell r="A382" t="str">
            <v>P1551</v>
          </cell>
          <cell r="B382" t="str">
            <v>GI</v>
          </cell>
        </row>
        <row r="383">
          <cell r="A383" t="str">
            <v>P1553</v>
          </cell>
          <cell r="B383" t="str">
            <v>GI</v>
          </cell>
        </row>
        <row r="384">
          <cell r="A384" t="str">
            <v>P1555</v>
          </cell>
          <cell r="B384" t="str">
            <v>DI</v>
          </cell>
        </row>
        <row r="385">
          <cell r="A385" t="str">
            <v>P1557</v>
          </cell>
          <cell r="B385" t="str">
            <v>DI</v>
          </cell>
        </row>
        <row r="386">
          <cell r="A386" t="str">
            <v>P1559</v>
          </cell>
          <cell r="B386" t="str">
            <v>DI</v>
          </cell>
        </row>
        <row r="387">
          <cell r="A387" t="str">
            <v>P1561</v>
          </cell>
          <cell r="B387" t="str">
            <v>DI</v>
          </cell>
        </row>
        <row r="388">
          <cell r="A388" t="str">
            <v>P_INTERCONNECTION</v>
          </cell>
          <cell r="B388" t="str">
            <v>PVC</v>
          </cell>
        </row>
        <row r="389">
          <cell r="A389" t="str">
            <v>P2337</v>
          </cell>
          <cell r="B389" t="str">
            <v>PVC</v>
          </cell>
        </row>
      </sheetData>
      <sheetData sheetId="1"/>
      <sheetData sheetId="2"/>
      <sheetData sheetId="3">
        <row r="2">
          <cell r="A2" t="str">
            <v>P787</v>
          </cell>
          <cell r="C2">
            <v>1</v>
          </cell>
        </row>
        <row r="3">
          <cell r="A3" t="str">
            <v>P789</v>
          </cell>
          <cell r="C3">
            <v>1</v>
          </cell>
        </row>
        <row r="4">
          <cell r="A4" t="str">
            <v>P791</v>
          </cell>
          <cell r="C4">
            <v>1</v>
          </cell>
        </row>
        <row r="5">
          <cell r="A5" t="str">
            <v>P793</v>
          </cell>
          <cell r="C5">
            <v>1</v>
          </cell>
        </row>
        <row r="6">
          <cell r="A6" t="str">
            <v>P795</v>
          </cell>
          <cell r="C6">
            <v>1</v>
          </cell>
        </row>
        <row r="7">
          <cell r="A7" t="str">
            <v>P797</v>
          </cell>
          <cell r="C7">
            <v>1</v>
          </cell>
        </row>
        <row r="8">
          <cell r="A8" t="str">
            <v>P799</v>
          </cell>
          <cell r="C8">
            <v>1</v>
          </cell>
        </row>
        <row r="9">
          <cell r="A9" t="str">
            <v>P801</v>
          </cell>
          <cell r="C9">
            <v>1</v>
          </cell>
        </row>
        <row r="10">
          <cell r="A10" t="str">
            <v>P803</v>
          </cell>
          <cell r="C10">
            <v>1</v>
          </cell>
        </row>
        <row r="11">
          <cell r="A11" t="str">
            <v>P805</v>
          </cell>
          <cell r="C11">
            <v>1</v>
          </cell>
        </row>
        <row r="12">
          <cell r="A12" t="str">
            <v>P807</v>
          </cell>
          <cell r="C12">
            <v>1</v>
          </cell>
        </row>
        <row r="13">
          <cell r="A13" t="str">
            <v>P809</v>
          </cell>
          <cell r="C13">
            <v>1</v>
          </cell>
        </row>
        <row r="14">
          <cell r="A14" t="str">
            <v>P811</v>
          </cell>
          <cell r="C14">
            <v>1</v>
          </cell>
        </row>
        <row r="15">
          <cell r="A15" t="str">
            <v>P813</v>
          </cell>
          <cell r="C15">
            <v>1</v>
          </cell>
        </row>
        <row r="16">
          <cell r="A16" t="str">
            <v>P815</v>
          </cell>
          <cell r="C16">
            <v>1</v>
          </cell>
        </row>
        <row r="17">
          <cell r="A17" t="str">
            <v>P817</v>
          </cell>
          <cell r="C17">
            <v>1</v>
          </cell>
        </row>
        <row r="18">
          <cell r="A18" t="str">
            <v>P819</v>
          </cell>
          <cell r="C18">
            <v>1</v>
          </cell>
        </row>
        <row r="19">
          <cell r="A19" t="str">
            <v>P821</v>
          </cell>
          <cell r="C19">
            <v>1</v>
          </cell>
        </row>
        <row r="20">
          <cell r="A20" t="str">
            <v>P823</v>
          </cell>
          <cell r="C20">
            <v>1</v>
          </cell>
        </row>
        <row r="21">
          <cell r="A21" t="str">
            <v>P825</v>
          </cell>
          <cell r="C21">
            <v>1</v>
          </cell>
        </row>
        <row r="22">
          <cell r="A22" t="str">
            <v>P827</v>
          </cell>
          <cell r="C22">
            <v>1</v>
          </cell>
        </row>
        <row r="23">
          <cell r="A23" t="str">
            <v>P829</v>
          </cell>
          <cell r="C23">
            <v>1</v>
          </cell>
        </row>
        <row r="24">
          <cell r="A24" t="str">
            <v>P831</v>
          </cell>
          <cell r="C24">
            <v>1</v>
          </cell>
        </row>
        <row r="25">
          <cell r="A25" t="str">
            <v>P833</v>
          </cell>
          <cell r="C25">
            <v>1</v>
          </cell>
        </row>
        <row r="26">
          <cell r="A26" t="str">
            <v>P835</v>
          </cell>
          <cell r="C26">
            <v>1</v>
          </cell>
        </row>
        <row r="27">
          <cell r="A27" t="str">
            <v>P837</v>
          </cell>
          <cell r="C27">
            <v>1</v>
          </cell>
        </row>
        <row r="28">
          <cell r="A28" t="str">
            <v>P839</v>
          </cell>
          <cell r="C28">
            <v>1</v>
          </cell>
        </row>
        <row r="29">
          <cell r="A29" t="str">
            <v>P841</v>
          </cell>
          <cell r="C29">
            <v>1</v>
          </cell>
        </row>
        <row r="30">
          <cell r="A30" t="str">
            <v>P843</v>
          </cell>
          <cell r="C30">
            <v>1</v>
          </cell>
        </row>
        <row r="31">
          <cell r="A31" t="str">
            <v>P845</v>
          </cell>
          <cell r="C31">
            <v>1</v>
          </cell>
        </row>
        <row r="32">
          <cell r="A32" t="str">
            <v>P847</v>
          </cell>
          <cell r="C32">
            <v>1</v>
          </cell>
        </row>
        <row r="33">
          <cell r="A33" t="str">
            <v>P849</v>
          </cell>
          <cell r="C33">
            <v>1</v>
          </cell>
        </row>
        <row r="34">
          <cell r="A34" t="str">
            <v>P851</v>
          </cell>
          <cell r="C34">
            <v>1</v>
          </cell>
        </row>
        <row r="35">
          <cell r="A35" t="str">
            <v>P853</v>
          </cell>
          <cell r="C35">
            <v>1</v>
          </cell>
        </row>
        <row r="36">
          <cell r="A36" t="str">
            <v>P855</v>
          </cell>
          <cell r="C36">
            <v>1</v>
          </cell>
        </row>
        <row r="37">
          <cell r="A37" t="str">
            <v>P857</v>
          </cell>
          <cell r="C37">
            <v>1</v>
          </cell>
        </row>
        <row r="38">
          <cell r="A38" t="str">
            <v>P859</v>
          </cell>
          <cell r="C38">
            <v>1</v>
          </cell>
        </row>
        <row r="39">
          <cell r="A39" t="str">
            <v>P861</v>
          </cell>
          <cell r="C39">
            <v>1</v>
          </cell>
        </row>
        <row r="40">
          <cell r="A40" t="str">
            <v>P863</v>
          </cell>
          <cell r="C40">
            <v>1</v>
          </cell>
        </row>
        <row r="41">
          <cell r="A41" t="str">
            <v>P865</v>
          </cell>
          <cell r="C41">
            <v>1</v>
          </cell>
        </row>
        <row r="42">
          <cell r="A42" t="str">
            <v>P867</v>
          </cell>
          <cell r="C42">
            <v>1</v>
          </cell>
        </row>
        <row r="43">
          <cell r="A43" t="str">
            <v>P869</v>
          </cell>
          <cell r="C43">
            <v>1</v>
          </cell>
        </row>
        <row r="44">
          <cell r="A44" t="str">
            <v>P871</v>
          </cell>
          <cell r="C44">
            <v>1</v>
          </cell>
        </row>
        <row r="45">
          <cell r="A45" t="str">
            <v>P873</v>
          </cell>
          <cell r="C45">
            <v>1</v>
          </cell>
        </row>
        <row r="46">
          <cell r="A46" t="str">
            <v>P875</v>
          </cell>
          <cell r="C46">
            <v>1</v>
          </cell>
        </row>
        <row r="47">
          <cell r="A47" t="str">
            <v>P877</v>
          </cell>
          <cell r="C47">
            <v>1</v>
          </cell>
        </row>
        <row r="48">
          <cell r="A48" t="str">
            <v>P879</v>
          </cell>
          <cell r="C48">
            <v>1</v>
          </cell>
        </row>
        <row r="49">
          <cell r="A49" t="str">
            <v>P881</v>
          </cell>
          <cell r="C49">
            <v>1</v>
          </cell>
        </row>
        <row r="50">
          <cell r="A50" t="str">
            <v>P883</v>
          </cell>
          <cell r="C50">
            <v>1</v>
          </cell>
        </row>
        <row r="51">
          <cell r="A51" t="str">
            <v>P885</v>
          </cell>
          <cell r="C51">
            <v>1</v>
          </cell>
        </row>
        <row r="52">
          <cell r="A52" t="str">
            <v>P887</v>
          </cell>
          <cell r="C52">
            <v>1</v>
          </cell>
        </row>
        <row r="53">
          <cell r="A53" t="str">
            <v>P889</v>
          </cell>
          <cell r="C53">
            <v>1</v>
          </cell>
        </row>
        <row r="54">
          <cell r="A54" t="str">
            <v>P891</v>
          </cell>
          <cell r="C54">
            <v>1</v>
          </cell>
        </row>
        <row r="55">
          <cell r="A55" t="str">
            <v>P893</v>
          </cell>
          <cell r="C55">
            <v>1</v>
          </cell>
        </row>
        <row r="56">
          <cell r="A56" t="str">
            <v>P895</v>
          </cell>
          <cell r="C56">
            <v>1</v>
          </cell>
        </row>
        <row r="57">
          <cell r="A57" t="str">
            <v>P897</v>
          </cell>
          <cell r="C57">
            <v>1</v>
          </cell>
        </row>
        <row r="58">
          <cell r="A58" t="str">
            <v>P899</v>
          </cell>
          <cell r="C58">
            <v>2</v>
          </cell>
        </row>
        <row r="59">
          <cell r="A59" t="str">
            <v>P901</v>
          </cell>
          <cell r="C59">
            <v>2</v>
          </cell>
        </row>
        <row r="60">
          <cell r="A60" t="str">
            <v>P903</v>
          </cell>
          <cell r="C60">
            <v>2</v>
          </cell>
        </row>
        <row r="61">
          <cell r="A61" t="str">
            <v>P905</v>
          </cell>
          <cell r="C61">
            <v>2</v>
          </cell>
        </row>
        <row r="62">
          <cell r="A62" t="str">
            <v>P907</v>
          </cell>
          <cell r="C62">
            <v>2</v>
          </cell>
        </row>
        <row r="63">
          <cell r="A63" t="str">
            <v>P909</v>
          </cell>
          <cell r="C63">
            <v>2</v>
          </cell>
        </row>
        <row r="64">
          <cell r="A64" t="str">
            <v>P911</v>
          </cell>
          <cell r="C64">
            <v>2</v>
          </cell>
        </row>
        <row r="65">
          <cell r="A65" t="str">
            <v>P913</v>
          </cell>
          <cell r="C65">
            <v>2</v>
          </cell>
        </row>
        <row r="66">
          <cell r="A66" t="str">
            <v>P915</v>
          </cell>
          <cell r="C66">
            <v>1</v>
          </cell>
        </row>
        <row r="67">
          <cell r="A67" t="str">
            <v>P917</v>
          </cell>
          <cell r="C67">
            <v>2</v>
          </cell>
        </row>
        <row r="68">
          <cell r="A68" t="str">
            <v>P919</v>
          </cell>
          <cell r="C68">
            <v>2</v>
          </cell>
        </row>
        <row r="69">
          <cell r="A69" t="str">
            <v>P921</v>
          </cell>
          <cell r="C69">
            <v>2</v>
          </cell>
        </row>
        <row r="70">
          <cell r="A70" t="str">
            <v>P923</v>
          </cell>
          <cell r="C70">
            <v>2</v>
          </cell>
        </row>
        <row r="71">
          <cell r="A71" t="str">
            <v>P925</v>
          </cell>
          <cell r="C71">
            <v>2</v>
          </cell>
        </row>
        <row r="72">
          <cell r="A72" t="str">
            <v>P927</v>
          </cell>
          <cell r="C72">
            <v>2</v>
          </cell>
        </row>
        <row r="73">
          <cell r="A73" t="str">
            <v>P929</v>
          </cell>
          <cell r="C73">
            <v>1</v>
          </cell>
        </row>
        <row r="74">
          <cell r="A74" t="str">
            <v>P931</v>
          </cell>
          <cell r="C74">
            <v>1</v>
          </cell>
        </row>
        <row r="75">
          <cell r="A75" t="str">
            <v>P933</v>
          </cell>
          <cell r="C75">
            <v>1</v>
          </cell>
        </row>
        <row r="76">
          <cell r="A76" t="str">
            <v>P935</v>
          </cell>
          <cell r="C76">
            <v>1</v>
          </cell>
        </row>
        <row r="77">
          <cell r="A77" t="str">
            <v>P937</v>
          </cell>
          <cell r="C77">
            <v>2</v>
          </cell>
        </row>
        <row r="78">
          <cell r="A78" t="str">
            <v>P939</v>
          </cell>
          <cell r="C78">
            <v>2</v>
          </cell>
        </row>
        <row r="79">
          <cell r="A79" t="str">
            <v>P941</v>
          </cell>
          <cell r="C79">
            <v>1</v>
          </cell>
        </row>
        <row r="80">
          <cell r="A80" t="str">
            <v>P943</v>
          </cell>
          <cell r="C80">
            <v>1</v>
          </cell>
        </row>
        <row r="81">
          <cell r="A81" t="str">
            <v>P945</v>
          </cell>
          <cell r="C81">
            <v>1</v>
          </cell>
        </row>
        <row r="82">
          <cell r="A82" t="str">
            <v>P947</v>
          </cell>
          <cell r="C82">
            <v>1</v>
          </cell>
        </row>
        <row r="83">
          <cell r="A83" t="str">
            <v>P949</v>
          </cell>
          <cell r="C83">
            <v>1</v>
          </cell>
        </row>
        <row r="84">
          <cell r="A84" t="str">
            <v>P951</v>
          </cell>
          <cell r="C84">
            <v>1</v>
          </cell>
        </row>
        <row r="85">
          <cell r="A85" t="str">
            <v>P953</v>
          </cell>
          <cell r="C85">
            <v>1</v>
          </cell>
        </row>
        <row r="86">
          <cell r="A86" t="str">
            <v>P955</v>
          </cell>
          <cell r="C86">
            <v>1</v>
          </cell>
        </row>
        <row r="87">
          <cell r="A87" t="str">
            <v>P957</v>
          </cell>
          <cell r="C87">
            <v>1</v>
          </cell>
        </row>
        <row r="88">
          <cell r="A88" t="str">
            <v>P959</v>
          </cell>
          <cell r="C88">
            <v>1</v>
          </cell>
        </row>
        <row r="89">
          <cell r="A89" t="str">
            <v>P961</v>
          </cell>
          <cell r="C89">
            <v>1</v>
          </cell>
        </row>
        <row r="90">
          <cell r="A90" t="str">
            <v>P963</v>
          </cell>
          <cell r="C90">
            <v>1</v>
          </cell>
        </row>
        <row r="91">
          <cell r="A91" t="str">
            <v>P965</v>
          </cell>
          <cell r="C91">
            <v>1</v>
          </cell>
        </row>
        <row r="92">
          <cell r="A92" t="str">
            <v>P967</v>
          </cell>
          <cell r="C92">
            <v>1</v>
          </cell>
        </row>
        <row r="93">
          <cell r="A93" t="str">
            <v>P969</v>
          </cell>
          <cell r="C93">
            <v>1</v>
          </cell>
        </row>
        <row r="94">
          <cell r="A94" t="str">
            <v>P971</v>
          </cell>
          <cell r="C94">
            <v>1</v>
          </cell>
        </row>
        <row r="95">
          <cell r="A95" t="str">
            <v>P973</v>
          </cell>
          <cell r="C95">
            <v>1</v>
          </cell>
        </row>
        <row r="96">
          <cell r="A96" t="str">
            <v>P975</v>
          </cell>
          <cell r="C96">
            <v>1</v>
          </cell>
        </row>
        <row r="97">
          <cell r="A97" t="str">
            <v>P977</v>
          </cell>
          <cell r="C97">
            <v>1</v>
          </cell>
        </row>
        <row r="98">
          <cell r="A98" t="str">
            <v>P979</v>
          </cell>
          <cell r="C98">
            <v>1</v>
          </cell>
        </row>
        <row r="99">
          <cell r="A99" t="str">
            <v>P981</v>
          </cell>
          <cell r="C99">
            <v>1</v>
          </cell>
        </row>
        <row r="100">
          <cell r="A100" t="str">
            <v>P983</v>
          </cell>
          <cell r="C100">
            <v>1</v>
          </cell>
        </row>
        <row r="101">
          <cell r="A101" t="str">
            <v>P985</v>
          </cell>
          <cell r="C101">
            <v>1</v>
          </cell>
        </row>
        <row r="102">
          <cell r="A102" t="str">
            <v>P987</v>
          </cell>
          <cell r="C102">
            <v>1</v>
          </cell>
        </row>
        <row r="103">
          <cell r="A103" t="str">
            <v>P989</v>
          </cell>
          <cell r="C103">
            <v>1</v>
          </cell>
        </row>
        <row r="104">
          <cell r="A104" t="str">
            <v>P991</v>
          </cell>
          <cell r="C104">
            <v>1</v>
          </cell>
        </row>
        <row r="105">
          <cell r="A105" t="str">
            <v>P993</v>
          </cell>
          <cell r="C105">
            <v>1</v>
          </cell>
        </row>
        <row r="106">
          <cell r="A106" t="str">
            <v>P995</v>
          </cell>
          <cell r="C106">
            <v>1</v>
          </cell>
        </row>
        <row r="107">
          <cell r="A107" t="str">
            <v>P997</v>
          </cell>
          <cell r="C107">
            <v>1</v>
          </cell>
        </row>
        <row r="108">
          <cell r="A108" t="str">
            <v>P999</v>
          </cell>
          <cell r="C108">
            <v>1</v>
          </cell>
        </row>
        <row r="109">
          <cell r="A109" t="str">
            <v>P1001</v>
          </cell>
          <cell r="C109">
            <v>1</v>
          </cell>
        </row>
        <row r="110">
          <cell r="A110" t="str">
            <v>P1003</v>
          </cell>
          <cell r="C110">
            <v>1</v>
          </cell>
        </row>
        <row r="111">
          <cell r="A111" t="str">
            <v>P1005</v>
          </cell>
          <cell r="C111">
            <v>1</v>
          </cell>
        </row>
        <row r="112">
          <cell r="A112" t="str">
            <v>P1007</v>
          </cell>
          <cell r="C112">
            <v>1</v>
          </cell>
        </row>
        <row r="113">
          <cell r="A113" t="str">
            <v>P1009</v>
          </cell>
          <cell r="C113">
            <v>1</v>
          </cell>
        </row>
        <row r="114">
          <cell r="A114" t="str">
            <v>P1011</v>
          </cell>
          <cell r="C114">
            <v>1</v>
          </cell>
        </row>
        <row r="115">
          <cell r="A115" t="str">
            <v>P1013</v>
          </cell>
          <cell r="C115">
            <v>1</v>
          </cell>
        </row>
        <row r="116">
          <cell r="A116" t="str">
            <v>P1015</v>
          </cell>
          <cell r="C116">
            <v>1</v>
          </cell>
        </row>
        <row r="117">
          <cell r="A117" t="str">
            <v>P1017</v>
          </cell>
          <cell r="C117">
            <v>1</v>
          </cell>
        </row>
        <row r="118">
          <cell r="A118" t="str">
            <v>P1019</v>
          </cell>
          <cell r="C118">
            <v>1</v>
          </cell>
        </row>
        <row r="119">
          <cell r="A119" t="str">
            <v>P1021</v>
          </cell>
          <cell r="C119">
            <v>1</v>
          </cell>
        </row>
        <row r="120">
          <cell r="A120" t="str">
            <v>P1023</v>
          </cell>
          <cell r="C120">
            <v>1</v>
          </cell>
        </row>
        <row r="121">
          <cell r="A121" t="str">
            <v>P1025</v>
          </cell>
          <cell r="C121">
            <v>1</v>
          </cell>
        </row>
        <row r="122">
          <cell r="A122" t="str">
            <v>P1027</v>
          </cell>
          <cell r="C122">
            <v>1</v>
          </cell>
        </row>
        <row r="123">
          <cell r="A123" t="str">
            <v>P1029</v>
          </cell>
          <cell r="C123">
            <v>1</v>
          </cell>
        </row>
        <row r="124">
          <cell r="A124" t="str">
            <v>P1031</v>
          </cell>
          <cell r="C124">
            <v>1</v>
          </cell>
        </row>
        <row r="125">
          <cell r="A125" t="str">
            <v>P1033</v>
          </cell>
          <cell r="C125">
            <v>1</v>
          </cell>
        </row>
        <row r="126">
          <cell r="A126" t="str">
            <v>P1035</v>
          </cell>
          <cell r="C126">
            <v>1</v>
          </cell>
        </row>
        <row r="127">
          <cell r="A127" t="str">
            <v>P1037</v>
          </cell>
          <cell r="C127">
            <v>1</v>
          </cell>
        </row>
        <row r="128">
          <cell r="A128" t="str">
            <v>P1039</v>
          </cell>
          <cell r="C128">
            <v>1</v>
          </cell>
        </row>
        <row r="129">
          <cell r="A129" t="str">
            <v>P1041</v>
          </cell>
          <cell r="C129">
            <v>1</v>
          </cell>
        </row>
        <row r="130">
          <cell r="A130" t="str">
            <v>P1045</v>
          </cell>
          <cell r="C130">
            <v>1</v>
          </cell>
        </row>
        <row r="131">
          <cell r="A131" t="str">
            <v>P1047</v>
          </cell>
          <cell r="C131">
            <v>1</v>
          </cell>
        </row>
        <row r="132">
          <cell r="A132" t="str">
            <v>P1049</v>
          </cell>
          <cell r="C132">
            <v>1</v>
          </cell>
        </row>
        <row r="133">
          <cell r="A133" t="str">
            <v>P1051</v>
          </cell>
          <cell r="C133">
            <v>1</v>
          </cell>
        </row>
        <row r="134">
          <cell r="A134" t="str">
            <v>P1053</v>
          </cell>
          <cell r="C134">
            <v>1</v>
          </cell>
        </row>
        <row r="135">
          <cell r="A135" t="str">
            <v>P1055</v>
          </cell>
          <cell r="C135">
            <v>1</v>
          </cell>
        </row>
        <row r="136">
          <cell r="A136" t="str">
            <v>P1057</v>
          </cell>
          <cell r="C136">
            <v>1</v>
          </cell>
        </row>
        <row r="137">
          <cell r="A137" t="str">
            <v>P1059</v>
          </cell>
          <cell r="C137">
            <v>1</v>
          </cell>
        </row>
        <row r="138">
          <cell r="A138" t="str">
            <v>P1061</v>
          </cell>
          <cell r="C138">
            <v>1</v>
          </cell>
        </row>
        <row r="139">
          <cell r="A139" t="str">
            <v>P1063</v>
          </cell>
          <cell r="C139">
            <v>1</v>
          </cell>
        </row>
        <row r="140">
          <cell r="A140" t="str">
            <v>P1065</v>
          </cell>
          <cell r="C140">
            <v>1</v>
          </cell>
        </row>
        <row r="141">
          <cell r="A141" t="str">
            <v>P1067</v>
          </cell>
          <cell r="C141">
            <v>1</v>
          </cell>
        </row>
        <row r="142">
          <cell r="A142" t="str">
            <v>P1069</v>
          </cell>
          <cell r="C142">
            <v>1</v>
          </cell>
        </row>
        <row r="143">
          <cell r="A143" t="str">
            <v>P1071</v>
          </cell>
          <cell r="C143">
            <v>1</v>
          </cell>
        </row>
        <row r="144">
          <cell r="A144" t="str">
            <v>P1073</v>
          </cell>
          <cell r="C144">
            <v>1</v>
          </cell>
        </row>
        <row r="145">
          <cell r="A145" t="str">
            <v>P1075</v>
          </cell>
          <cell r="C145">
            <v>1</v>
          </cell>
        </row>
        <row r="146">
          <cell r="A146" t="str">
            <v>P1077</v>
          </cell>
          <cell r="C146">
            <v>1</v>
          </cell>
        </row>
        <row r="147">
          <cell r="A147" t="str">
            <v>P1079</v>
          </cell>
          <cell r="C147">
            <v>1</v>
          </cell>
        </row>
        <row r="148">
          <cell r="A148" t="str">
            <v>P1081</v>
          </cell>
          <cell r="C148">
            <v>1</v>
          </cell>
        </row>
        <row r="149">
          <cell r="A149" t="str">
            <v>P1083</v>
          </cell>
          <cell r="C149">
            <v>1</v>
          </cell>
        </row>
        <row r="150">
          <cell r="A150" t="str">
            <v>P1085</v>
          </cell>
          <cell r="C150">
            <v>1</v>
          </cell>
        </row>
        <row r="151">
          <cell r="A151" t="str">
            <v>P1087</v>
          </cell>
          <cell r="C151">
            <v>1</v>
          </cell>
        </row>
        <row r="152">
          <cell r="A152" t="str">
            <v>P1089</v>
          </cell>
          <cell r="C152">
            <v>1</v>
          </cell>
        </row>
        <row r="153">
          <cell r="A153" t="str">
            <v>P1091</v>
          </cell>
          <cell r="C153">
            <v>1</v>
          </cell>
        </row>
        <row r="154">
          <cell r="A154" t="str">
            <v>P1093</v>
          </cell>
          <cell r="C154">
            <v>1</v>
          </cell>
        </row>
        <row r="155">
          <cell r="A155" t="str">
            <v>P1095</v>
          </cell>
          <cell r="C155">
            <v>1</v>
          </cell>
        </row>
        <row r="156">
          <cell r="A156" t="str">
            <v>P1097</v>
          </cell>
          <cell r="C156">
            <v>1</v>
          </cell>
        </row>
        <row r="157">
          <cell r="A157" t="str">
            <v>P1099</v>
          </cell>
          <cell r="C157">
            <v>1</v>
          </cell>
        </row>
        <row r="158">
          <cell r="A158" t="str">
            <v>P1101</v>
          </cell>
          <cell r="C158">
            <v>1</v>
          </cell>
        </row>
        <row r="159">
          <cell r="A159" t="str">
            <v>P1103</v>
          </cell>
          <cell r="C159">
            <v>1</v>
          </cell>
        </row>
        <row r="160">
          <cell r="A160" t="str">
            <v>P1105</v>
          </cell>
          <cell r="C160">
            <v>1</v>
          </cell>
        </row>
        <row r="161">
          <cell r="A161" t="str">
            <v>P1107</v>
          </cell>
          <cell r="C161">
            <v>1</v>
          </cell>
        </row>
        <row r="162">
          <cell r="A162" t="str">
            <v>P1109</v>
          </cell>
          <cell r="C162">
            <v>1</v>
          </cell>
        </row>
        <row r="163">
          <cell r="A163" t="str">
            <v>P1111</v>
          </cell>
          <cell r="C163">
            <v>1</v>
          </cell>
        </row>
        <row r="164">
          <cell r="A164" t="str">
            <v>P1113</v>
          </cell>
          <cell r="C164">
            <v>1</v>
          </cell>
        </row>
        <row r="165">
          <cell r="A165" t="str">
            <v>P1115</v>
          </cell>
          <cell r="C165">
            <v>1</v>
          </cell>
        </row>
        <row r="166">
          <cell r="A166" t="str">
            <v>P1117</v>
          </cell>
          <cell r="C166">
            <v>1</v>
          </cell>
        </row>
        <row r="167">
          <cell r="A167" t="str">
            <v>P1119</v>
          </cell>
          <cell r="C167">
            <v>1</v>
          </cell>
        </row>
        <row r="168">
          <cell r="A168" t="str">
            <v>P1121</v>
          </cell>
          <cell r="C168">
            <v>1</v>
          </cell>
        </row>
        <row r="169">
          <cell r="A169" t="str">
            <v>P1123</v>
          </cell>
          <cell r="C169">
            <v>1</v>
          </cell>
        </row>
        <row r="170">
          <cell r="A170" t="str">
            <v>P1125</v>
          </cell>
          <cell r="C170">
            <v>1</v>
          </cell>
        </row>
        <row r="171">
          <cell r="A171" t="str">
            <v>P1127</v>
          </cell>
          <cell r="C171">
            <v>1</v>
          </cell>
        </row>
        <row r="172">
          <cell r="A172" t="str">
            <v>P1129</v>
          </cell>
          <cell r="C172">
            <v>1</v>
          </cell>
        </row>
        <row r="173">
          <cell r="A173" t="str">
            <v>P1131</v>
          </cell>
          <cell r="C173">
            <v>1</v>
          </cell>
        </row>
        <row r="174">
          <cell r="A174" t="str">
            <v>P1133</v>
          </cell>
          <cell r="C174">
            <v>1</v>
          </cell>
        </row>
        <row r="175">
          <cell r="A175" t="str">
            <v>P1135</v>
          </cell>
          <cell r="C175">
            <v>1</v>
          </cell>
        </row>
        <row r="176">
          <cell r="A176" t="str">
            <v>P1137</v>
          </cell>
          <cell r="C176">
            <v>1</v>
          </cell>
        </row>
        <row r="177">
          <cell r="A177" t="str">
            <v>P1139</v>
          </cell>
          <cell r="C177">
            <v>1</v>
          </cell>
        </row>
        <row r="178">
          <cell r="A178" t="str">
            <v>P1141</v>
          </cell>
          <cell r="C178">
            <v>1</v>
          </cell>
        </row>
        <row r="179">
          <cell r="A179" t="str">
            <v>P1143</v>
          </cell>
          <cell r="C179">
            <v>1</v>
          </cell>
        </row>
        <row r="180">
          <cell r="A180" t="str">
            <v>P1145</v>
          </cell>
          <cell r="C180">
            <v>1</v>
          </cell>
        </row>
        <row r="181">
          <cell r="A181" t="str">
            <v>P1147</v>
          </cell>
          <cell r="C181">
            <v>1</v>
          </cell>
        </row>
        <row r="182">
          <cell r="A182" t="str">
            <v>P1149</v>
          </cell>
          <cell r="C182">
            <v>1</v>
          </cell>
        </row>
        <row r="183">
          <cell r="A183" t="str">
            <v>P1151</v>
          </cell>
          <cell r="C183">
            <v>1</v>
          </cell>
        </row>
        <row r="184">
          <cell r="A184" t="str">
            <v>P1153</v>
          </cell>
          <cell r="C184">
            <v>1</v>
          </cell>
        </row>
        <row r="185">
          <cell r="A185" t="str">
            <v>P1155</v>
          </cell>
          <cell r="C185">
            <v>1</v>
          </cell>
        </row>
        <row r="186">
          <cell r="A186" t="str">
            <v>P1157</v>
          </cell>
          <cell r="C186">
            <v>1</v>
          </cell>
        </row>
        <row r="187">
          <cell r="A187" t="str">
            <v>P1159</v>
          </cell>
          <cell r="C187">
            <v>1</v>
          </cell>
        </row>
        <row r="188">
          <cell r="A188" t="str">
            <v>P1161</v>
          </cell>
          <cell r="C188">
            <v>1</v>
          </cell>
        </row>
        <row r="189">
          <cell r="A189" t="str">
            <v>P1163</v>
          </cell>
          <cell r="C189">
            <v>1</v>
          </cell>
        </row>
        <row r="190">
          <cell r="A190" t="str">
            <v>P1165</v>
          </cell>
          <cell r="C190">
            <v>1</v>
          </cell>
        </row>
        <row r="191">
          <cell r="A191" t="str">
            <v>P1167</v>
          </cell>
          <cell r="C191">
            <v>1</v>
          </cell>
        </row>
        <row r="192">
          <cell r="A192" t="str">
            <v>P1169</v>
          </cell>
          <cell r="C192">
            <v>1</v>
          </cell>
        </row>
        <row r="193">
          <cell r="A193" t="str">
            <v>P1171</v>
          </cell>
          <cell r="C193">
            <v>1</v>
          </cell>
        </row>
        <row r="194">
          <cell r="A194" t="str">
            <v>P1173</v>
          </cell>
          <cell r="C194">
            <v>1</v>
          </cell>
        </row>
        <row r="195">
          <cell r="A195" t="str">
            <v>P1175</v>
          </cell>
          <cell r="C195">
            <v>1</v>
          </cell>
        </row>
        <row r="196">
          <cell r="A196" t="str">
            <v>P1177</v>
          </cell>
          <cell r="C196">
            <v>1</v>
          </cell>
        </row>
        <row r="197">
          <cell r="A197" t="str">
            <v>P1179</v>
          </cell>
          <cell r="C197">
            <v>1</v>
          </cell>
        </row>
        <row r="198">
          <cell r="A198" t="str">
            <v>P1181</v>
          </cell>
          <cell r="C198">
            <v>1</v>
          </cell>
        </row>
        <row r="199">
          <cell r="A199" t="str">
            <v>P1183</v>
          </cell>
          <cell r="C199">
            <v>1</v>
          </cell>
        </row>
        <row r="200">
          <cell r="A200" t="str">
            <v>P1185</v>
          </cell>
          <cell r="C200">
            <v>1</v>
          </cell>
        </row>
        <row r="201">
          <cell r="A201" t="str">
            <v>P1187</v>
          </cell>
          <cell r="C201">
            <v>1</v>
          </cell>
        </row>
        <row r="202">
          <cell r="A202" t="str">
            <v>P1189</v>
          </cell>
          <cell r="C202">
            <v>1</v>
          </cell>
        </row>
        <row r="203">
          <cell r="A203" t="str">
            <v>P1191</v>
          </cell>
          <cell r="C203">
            <v>1</v>
          </cell>
        </row>
        <row r="204">
          <cell r="A204" t="str">
            <v>P1193</v>
          </cell>
          <cell r="C204">
            <v>1</v>
          </cell>
        </row>
        <row r="205">
          <cell r="A205" t="str">
            <v>P1195</v>
          </cell>
          <cell r="C205">
            <v>1</v>
          </cell>
        </row>
        <row r="206">
          <cell r="A206" t="str">
            <v>P1197</v>
          </cell>
          <cell r="C206">
            <v>1</v>
          </cell>
        </row>
        <row r="207">
          <cell r="A207" t="str">
            <v>P1199</v>
          </cell>
          <cell r="C207">
            <v>1</v>
          </cell>
        </row>
        <row r="208">
          <cell r="A208" t="str">
            <v>P1201</v>
          </cell>
          <cell r="C208">
            <v>1</v>
          </cell>
        </row>
        <row r="209">
          <cell r="A209" t="str">
            <v>P1203</v>
          </cell>
          <cell r="C209">
            <v>1</v>
          </cell>
        </row>
        <row r="210">
          <cell r="A210" t="str">
            <v>P1205</v>
          </cell>
          <cell r="C210">
            <v>1</v>
          </cell>
        </row>
        <row r="211">
          <cell r="A211" t="str">
            <v>P1207</v>
          </cell>
          <cell r="C211">
            <v>1</v>
          </cell>
        </row>
        <row r="212">
          <cell r="A212" t="str">
            <v>P1209</v>
          </cell>
          <cell r="C212">
            <v>1</v>
          </cell>
        </row>
        <row r="213">
          <cell r="A213" t="str">
            <v>P1211</v>
          </cell>
          <cell r="C213">
            <v>1</v>
          </cell>
        </row>
        <row r="214">
          <cell r="A214" t="str">
            <v>P1213</v>
          </cell>
          <cell r="C214">
            <v>1</v>
          </cell>
        </row>
        <row r="215">
          <cell r="A215" t="str">
            <v>P1215</v>
          </cell>
          <cell r="C215">
            <v>1</v>
          </cell>
        </row>
        <row r="216">
          <cell r="A216" t="str">
            <v>P1217</v>
          </cell>
          <cell r="C216">
            <v>1</v>
          </cell>
        </row>
        <row r="217">
          <cell r="A217" t="str">
            <v>P1219</v>
          </cell>
          <cell r="C217">
            <v>1</v>
          </cell>
        </row>
        <row r="218">
          <cell r="A218" t="str">
            <v>P1221</v>
          </cell>
          <cell r="C218">
            <v>1</v>
          </cell>
        </row>
        <row r="219">
          <cell r="A219" t="str">
            <v>P1223</v>
          </cell>
          <cell r="C219">
            <v>1</v>
          </cell>
        </row>
        <row r="220">
          <cell r="A220" t="str">
            <v>P1225</v>
          </cell>
          <cell r="C220">
            <v>1</v>
          </cell>
        </row>
        <row r="221">
          <cell r="A221" t="str">
            <v>P1227</v>
          </cell>
          <cell r="C221">
            <v>1</v>
          </cell>
        </row>
        <row r="222">
          <cell r="A222" t="str">
            <v>P1229</v>
          </cell>
          <cell r="C222">
            <v>1</v>
          </cell>
        </row>
        <row r="223">
          <cell r="A223" t="str">
            <v>P1231</v>
          </cell>
          <cell r="C223">
            <v>1</v>
          </cell>
        </row>
        <row r="224">
          <cell r="A224" t="str">
            <v>P1233</v>
          </cell>
          <cell r="C224">
            <v>1</v>
          </cell>
        </row>
        <row r="225">
          <cell r="A225" t="str">
            <v>P1235</v>
          </cell>
          <cell r="C225">
            <v>1</v>
          </cell>
        </row>
        <row r="226">
          <cell r="A226" t="str">
            <v>P1237</v>
          </cell>
          <cell r="C226">
            <v>1</v>
          </cell>
        </row>
        <row r="227">
          <cell r="A227" t="str">
            <v>P1239</v>
          </cell>
          <cell r="C227">
            <v>1</v>
          </cell>
        </row>
        <row r="228">
          <cell r="A228" t="str">
            <v>P1241</v>
          </cell>
          <cell r="C228">
            <v>1</v>
          </cell>
        </row>
        <row r="229">
          <cell r="A229" t="str">
            <v>P1243</v>
          </cell>
          <cell r="C229">
            <v>1</v>
          </cell>
        </row>
        <row r="230">
          <cell r="A230" t="str">
            <v>P1245</v>
          </cell>
          <cell r="C230">
            <v>1</v>
          </cell>
        </row>
        <row r="231">
          <cell r="A231" t="str">
            <v>P1247</v>
          </cell>
          <cell r="C231">
            <v>1</v>
          </cell>
        </row>
        <row r="232">
          <cell r="A232" t="str">
            <v>P1249</v>
          </cell>
          <cell r="C232">
            <v>1</v>
          </cell>
        </row>
        <row r="233">
          <cell r="A233" t="str">
            <v>P1251</v>
          </cell>
          <cell r="C233">
            <v>1</v>
          </cell>
        </row>
        <row r="234">
          <cell r="A234" t="str">
            <v>P1253</v>
          </cell>
          <cell r="C234">
            <v>1</v>
          </cell>
        </row>
        <row r="235">
          <cell r="A235" t="str">
            <v>P1255</v>
          </cell>
          <cell r="C235">
            <v>1</v>
          </cell>
        </row>
        <row r="236">
          <cell r="A236" t="str">
            <v>P1257</v>
          </cell>
          <cell r="C236">
            <v>1</v>
          </cell>
        </row>
        <row r="237">
          <cell r="A237" t="str">
            <v>P1259</v>
          </cell>
          <cell r="C237">
            <v>1</v>
          </cell>
        </row>
        <row r="238">
          <cell r="A238" t="str">
            <v>P1261</v>
          </cell>
          <cell r="C238">
            <v>1</v>
          </cell>
        </row>
        <row r="239">
          <cell r="A239" t="str">
            <v>P1263</v>
          </cell>
          <cell r="C239">
            <v>1</v>
          </cell>
        </row>
        <row r="240">
          <cell r="A240" t="str">
            <v>P1265</v>
          </cell>
          <cell r="C240">
            <v>1</v>
          </cell>
        </row>
        <row r="241">
          <cell r="A241" t="str">
            <v>P1267</v>
          </cell>
          <cell r="C241">
            <v>1</v>
          </cell>
        </row>
        <row r="242">
          <cell r="A242" t="str">
            <v>P1269</v>
          </cell>
          <cell r="C242">
            <v>1</v>
          </cell>
        </row>
        <row r="243">
          <cell r="A243" t="str">
            <v>P1271</v>
          </cell>
          <cell r="C243">
            <v>1</v>
          </cell>
        </row>
        <row r="244">
          <cell r="A244" t="str">
            <v>P1273</v>
          </cell>
          <cell r="C244">
            <v>1</v>
          </cell>
        </row>
        <row r="245">
          <cell r="A245" t="str">
            <v>P1275</v>
          </cell>
          <cell r="C245">
            <v>1</v>
          </cell>
        </row>
        <row r="246">
          <cell r="A246" t="str">
            <v>P1277</v>
          </cell>
          <cell r="C246">
            <v>1</v>
          </cell>
        </row>
        <row r="247">
          <cell r="A247" t="str">
            <v>P1279</v>
          </cell>
          <cell r="C247">
            <v>1</v>
          </cell>
        </row>
        <row r="248">
          <cell r="A248" t="str">
            <v>P1281</v>
          </cell>
          <cell r="C248">
            <v>1</v>
          </cell>
        </row>
        <row r="249">
          <cell r="A249" t="str">
            <v>P1283</v>
          </cell>
          <cell r="C249">
            <v>1</v>
          </cell>
        </row>
        <row r="250">
          <cell r="A250" t="str">
            <v>P1285</v>
          </cell>
          <cell r="C250">
            <v>1</v>
          </cell>
        </row>
        <row r="251">
          <cell r="A251" t="str">
            <v>P1287</v>
          </cell>
          <cell r="C251">
            <v>1</v>
          </cell>
        </row>
        <row r="252">
          <cell r="A252" t="str">
            <v>P1289</v>
          </cell>
          <cell r="C252">
            <v>1</v>
          </cell>
        </row>
        <row r="253">
          <cell r="A253" t="str">
            <v>P1291</v>
          </cell>
          <cell r="C253">
            <v>1</v>
          </cell>
        </row>
        <row r="254">
          <cell r="A254" t="str">
            <v>P1293</v>
          </cell>
          <cell r="C254">
            <v>1</v>
          </cell>
        </row>
        <row r="255">
          <cell r="A255" t="str">
            <v>P1295</v>
          </cell>
          <cell r="C255">
            <v>1</v>
          </cell>
        </row>
        <row r="256">
          <cell r="A256" t="str">
            <v>P1297</v>
          </cell>
          <cell r="C256">
            <v>1</v>
          </cell>
        </row>
        <row r="257">
          <cell r="A257" t="str">
            <v>P1299</v>
          </cell>
          <cell r="C257">
            <v>1</v>
          </cell>
        </row>
        <row r="258">
          <cell r="A258" t="str">
            <v>P1301</v>
          </cell>
          <cell r="C258">
            <v>1</v>
          </cell>
        </row>
        <row r="259">
          <cell r="A259" t="str">
            <v>P1303</v>
          </cell>
          <cell r="C259">
            <v>1</v>
          </cell>
        </row>
        <row r="260">
          <cell r="A260" t="str">
            <v>P1305</v>
          </cell>
          <cell r="C260">
            <v>1</v>
          </cell>
        </row>
        <row r="261">
          <cell r="A261" t="str">
            <v>P1307</v>
          </cell>
          <cell r="C261">
            <v>1</v>
          </cell>
        </row>
        <row r="262">
          <cell r="A262" t="str">
            <v>P1309</v>
          </cell>
          <cell r="C262">
            <v>1</v>
          </cell>
        </row>
        <row r="263">
          <cell r="A263" t="str">
            <v>P1311</v>
          </cell>
          <cell r="C263">
            <v>1</v>
          </cell>
        </row>
        <row r="264">
          <cell r="A264" t="str">
            <v>P1313</v>
          </cell>
          <cell r="C264">
            <v>1</v>
          </cell>
        </row>
        <row r="265">
          <cell r="A265" t="str">
            <v>P1315</v>
          </cell>
          <cell r="C265">
            <v>1</v>
          </cell>
        </row>
        <row r="266">
          <cell r="A266" t="str">
            <v>P1317</v>
          </cell>
          <cell r="C266">
            <v>1</v>
          </cell>
        </row>
        <row r="267">
          <cell r="A267" t="str">
            <v>P1319</v>
          </cell>
          <cell r="C267">
            <v>1</v>
          </cell>
        </row>
        <row r="268">
          <cell r="A268" t="str">
            <v>P1321</v>
          </cell>
          <cell r="C268">
            <v>2</v>
          </cell>
        </row>
        <row r="269">
          <cell r="A269" t="str">
            <v>P1323</v>
          </cell>
          <cell r="C269">
            <v>1</v>
          </cell>
        </row>
        <row r="270">
          <cell r="A270" t="str">
            <v>P1325</v>
          </cell>
          <cell r="C270">
            <v>2</v>
          </cell>
        </row>
        <row r="271">
          <cell r="A271" t="str">
            <v>P1327</v>
          </cell>
          <cell r="C271">
            <v>1</v>
          </cell>
        </row>
        <row r="272">
          <cell r="A272" t="str">
            <v>P1329</v>
          </cell>
          <cell r="C272">
            <v>1</v>
          </cell>
        </row>
        <row r="273">
          <cell r="A273" t="str">
            <v>P1331</v>
          </cell>
          <cell r="C273">
            <v>1</v>
          </cell>
        </row>
        <row r="274">
          <cell r="A274" t="str">
            <v>P1333</v>
          </cell>
          <cell r="C274">
            <v>1</v>
          </cell>
        </row>
        <row r="275">
          <cell r="A275" t="str">
            <v>P1335</v>
          </cell>
          <cell r="C275">
            <v>2</v>
          </cell>
        </row>
        <row r="276">
          <cell r="A276" t="str">
            <v>P1337</v>
          </cell>
          <cell r="C276">
            <v>2</v>
          </cell>
        </row>
        <row r="277">
          <cell r="A277" t="str">
            <v>P1339</v>
          </cell>
          <cell r="C277">
            <v>2</v>
          </cell>
        </row>
        <row r="278">
          <cell r="A278" t="str">
            <v>P1341</v>
          </cell>
          <cell r="C278">
            <v>2</v>
          </cell>
        </row>
        <row r="279">
          <cell r="A279" t="str">
            <v>P1343</v>
          </cell>
          <cell r="C279">
            <v>1</v>
          </cell>
        </row>
        <row r="280">
          <cell r="A280" t="str">
            <v>P1345</v>
          </cell>
          <cell r="C280">
            <v>1</v>
          </cell>
        </row>
        <row r="281">
          <cell r="A281" t="str">
            <v>P1347</v>
          </cell>
          <cell r="C281">
            <v>2</v>
          </cell>
        </row>
        <row r="282">
          <cell r="A282" t="str">
            <v>P1349</v>
          </cell>
          <cell r="C282">
            <v>1</v>
          </cell>
        </row>
        <row r="283">
          <cell r="A283" t="str">
            <v>P1351</v>
          </cell>
          <cell r="C283">
            <v>2</v>
          </cell>
        </row>
        <row r="284">
          <cell r="A284" t="str">
            <v>P1353</v>
          </cell>
          <cell r="C284">
            <v>2</v>
          </cell>
        </row>
        <row r="285">
          <cell r="A285" t="str">
            <v>P1355</v>
          </cell>
          <cell r="C285">
            <v>2</v>
          </cell>
        </row>
        <row r="286">
          <cell r="A286" t="str">
            <v>P1357</v>
          </cell>
          <cell r="C286">
            <v>2</v>
          </cell>
        </row>
        <row r="287">
          <cell r="A287" t="str">
            <v>P1359</v>
          </cell>
          <cell r="C287">
            <v>2</v>
          </cell>
        </row>
        <row r="288">
          <cell r="A288" t="str">
            <v>P1361</v>
          </cell>
          <cell r="C288">
            <v>2</v>
          </cell>
        </row>
        <row r="289">
          <cell r="A289" t="str">
            <v>P1363</v>
          </cell>
          <cell r="C289">
            <v>2</v>
          </cell>
        </row>
        <row r="290">
          <cell r="A290" t="str">
            <v>P1365</v>
          </cell>
          <cell r="C290">
            <v>2</v>
          </cell>
        </row>
        <row r="291">
          <cell r="A291" t="str">
            <v>P1367</v>
          </cell>
          <cell r="C291">
            <v>2</v>
          </cell>
        </row>
        <row r="292">
          <cell r="A292" t="str">
            <v>P1369</v>
          </cell>
          <cell r="C292">
            <v>1</v>
          </cell>
        </row>
        <row r="293">
          <cell r="A293" t="str">
            <v>P1371</v>
          </cell>
          <cell r="C293">
            <v>1</v>
          </cell>
        </row>
        <row r="294">
          <cell r="A294" t="str">
            <v>P1373</v>
          </cell>
          <cell r="C294">
            <v>1</v>
          </cell>
        </row>
        <row r="295">
          <cell r="A295" t="str">
            <v>P1375</v>
          </cell>
          <cell r="C295">
            <v>1</v>
          </cell>
        </row>
        <row r="296">
          <cell r="A296" t="str">
            <v>P1377</v>
          </cell>
          <cell r="C296">
            <v>1</v>
          </cell>
        </row>
        <row r="297">
          <cell r="A297" t="str">
            <v>P1379</v>
          </cell>
          <cell r="C297">
            <v>2</v>
          </cell>
        </row>
        <row r="298">
          <cell r="A298" t="str">
            <v>P1381</v>
          </cell>
          <cell r="C298">
            <v>2</v>
          </cell>
        </row>
        <row r="299">
          <cell r="A299" t="str">
            <v>P1383</v>
          </cell>
          <cell r="C299">
            <v>2</v>
          </cell>
        </row>
        <row r="300">
          <cell r="A300" t="str">
            <v>P1385</v>
          </cell>
          <cell r="C300">
            <v>2</v>
          </cell>
        </row>
        <row r="301">
          <cell r="A301" t="str">
            <v>P1387</v>
          </cell>
          <cell r="C301">
            <v>2</v>
          </cell>
        </row>
        <row r="302">
          <cell r="A302" t="str">
            <v>P1389</v>
          </cell>
          <cell r="C302">
            <v>2</v>
          </cell>
        </row>
        <row r="303">
          <cell r="A303" t="str">
            <v>P1391</v>
          </cell>
          <cell r="C303">
            <v>2</v>
          </cell>
        </row>
        <row r="304">
          <cell r="A304" t="str">
            <v>P1393</v>
          </cell>
          <cell r="C304">
            <v>2</v>
          </cell>
        </row>
        <row r="305">
          <cell r="A305" t="str">
            <v>P1395</v>
          </cell>
          <cell r="C305">
            <v>2</v>
          </cell>
        </row>
        <row r="306">
          <cell r="A306" t="str">
            <v>P1397</v>
          </cell>
          <cell r="C306">
            <v>2</v>
          </cell>
        </row>
        <row r="307">
          <cell r="A307" t="str">
            <v>P1399</v>
          </cell>
          <cell r="C307">
            <v>1</v>
          </cell>
        </row>
        <row r="308">
          <cell r="A308" t="str">
            <v>P1401</v>
          </cell>
          <cell r="C308">
            <v>2</v>
          </cell>
        </row>
        <row r="309">
          <cell r="A309" t="str">
            <v>P1403</v>
          </cell>
          <cell r="C309">
            <v>2</v>
          </cell>
        </row>
        <row r="310">
          <cell r="A310" t="str">
            <v>P1405</v>
          </cell>
          <cell r="C310">
            <v>2</v>
          </cell>
        </row>
        <row r="311">
          <cell r="A311" t="str">
            <v>P1407</v>
          </cell>
          <cell r="C311">
            <v>2</v>
          </cell>
        </row>
        <row r="312">
          <cell r="A312" t="str">
            <v>P1409</v>
          </cell>
          <cell r="C312">
            <v>2</v>
          </cell>
        </row>
        <row r="313">
          <cell r="A313" t="str">
            <v>P1411</v>
          </cell>
          <cell r="C313">
            <v>2</v>
          </cell>
        </row>
        <row r="314">
          <cell r="A314" t="str">
            <v>P1413</v>
          </cell>
          <cell r="C314">
            <v>2</v>
          </cell>
        </row>
        <row r="315">
          <cell r="A315" t="str">
            <v>P1415</v>
          </cell>
          <cell r="C315">
            <v>2</v>
          </cell>
        </row>
        <row r="316">
          <cell r="A316" t="str">
            <v>P1417</v>
          </cell>
          <cell r="C316">
            <v>2</v>
          </cell>
        </row>
        <row r="317">
          <cell r="A317" t="str">
            <v>P1419</v>
          </cell>
          <cell r="C317">
            <v>2</v>
          </cell>
        </row>
        <row r="318">
          <cell r="A318" t="str">
            <v>P1421</v>
          </cell>
          <cell r="C318">
            <v>2</v>
          </cell>
        </row>
        <row r="319">
          <cell r="A319" t="str">
            <v>P1423</v>
          </cell>
          <cell r="C319">
            <v>2</v>
          </cell>
        </row>
        <row r="320">
          <cell r="A320" t="str">
            <v>P1425</v>
          </cell>
          <cell r="C320">
            <v>2</v>
          </cell>
        </row>
        <row r="321">
          <cell r="A321" t="str">
            <v>P1427</v>
          </cell>
          <cell r="C321">
            <v>1</v>
          </cell>
        </row>
        <row r="322">
          <cell r="A322" t="str">
            <v>P1429</v>
          </cell>
          <cell r="C322">
            <v>1</v>
          </cell>
        </row>
        <row r="323">
          <cell r="A323" t="str">
            <v>P1431</v>
          </cell>
          <cell r="C323">
            <v>1</v>
          </cell>
        </row>
        <row r="324">
          <cell r="A324" t="str">
            <v>P1433</v>
          </cell>
          <cell r="C324">
            <v>1</v>
          </cell>
        </row>
        <row r="325">
          <cell r="A325" t="str">
            <v>P1435</v>
          </cell>
          <cell r="C325">
            <v>2</v>
          </cell>
        </row>
        <row r="326">
          <cell r="A326" t="str">
            <v>P1437</v>
          </cell>
          <cell r="C326">
            <v>1</v>
          </cell>
        </row>
        <row r="327">
          <cell r="A327" t="str">
            <v>P1439</v>
          </cell>
          <cell r="C327">
            <v>2</v>
          </cell>
        </row>
        <row r="328">
          <cell r="A328" t="str">
            <v>P1441</v>
          </cell>
          <cell r="C328">
            <v>1</v>
          </cell>
        </row>
        <row r="329">
          <cell r="A329" t="str">
            <v>P1443</v>
          </cell>
          <cell r="C329">
            <v>1</v>
          </cell>
        </row>
        <row r="330">
          <cell r="A330" t="str">
            <v>P1445</v>
          </cell>
          <cell r="C330">
            <v>1</v>
          </cell>
        </row>
        <row r="331">
          <cell r="A331" t="str">
            <v>P1447</v>
          </cell>
          <cell r="C331">
            <v>1</v>
          </cell>
        </row>
        <row r="332">
          <cell r="A332" t="str">
            <v>P1449</v>
          </cell>
          <cell r="C332">
            <v>1</v>
          </cell>
        </row>
        <row r="333">
          <cell r="A333" t="str">
            <v>P1451</v>
          </cell>
          <cell r="C333">
            <v>1</v>
          </cell>
        </row>
        <row r="334">
          <cell r="A334" t="str">
            <v>P1453</v>
          </cell>
          <cell r="C334">
            <v>1</v>
          </cell>
        </row>
        <row r="335">
          <cell r="A335" t="str">
            <v>P1455</v>
          </cell>
          <cell r="C335">
            <v>1</v>
          </cell>
        </row>
        <row r="336">
          <cell r="A336" t="str">
            <v>P1457</v>
          </cell>
          <cell r="C336">
            <v>1</v>
          </cell>
        </row>
        <row r="337">
          <cell r="A337" t="str">
            <v>P1459</v>
          </cell>
          <cell r="C337">
            <v>1</v>
          </cell>
        </row>
        <row r="338">
          <cell r="A338" t="str">
            <v>P1461</v>
          </cell>
          <cell r="C338">
            <v>1</v>
          </cell>
        </row>
        <row r="339">
          <cell r="A339" t="str">
            <v>P1463</v>
          </cell>
          <cell r="C339">
            <v>1</v>
          </cell>
        </row>
        <row r="340">
          <cell r="A340" t="str">
            <v>P1465</v>
          </cell>
          <cell r="C340">
            <v>1</v>
          </cell>
        </row>
        <row r="341">
          <cell r="A341" t="str">
            <v>P1467</v>
          </cell>
          <cell r="C341">
            <v>1</v>
          </cell>
        </row>
        <row r="342">
          <cell r="A342" t="str">
            <v>P1469</v>
          </cell>
          <cell r="C342">
            <v>1</v>
          </cell>
        </row>
        <row r="343">
          <cell r="A343" t="str">
            <v>P1471</v>
          </cell>
          <cell r="C343">
            <v>1</v>
          </cell>
        </row>
        <row r="344">
          <cell r="A344" t="str">
            <v>P1473</v>
          </cell>
          <cell r="C344">
            <v>1</v>
          </cell>
        </row>
        <row r="345">
          <cell r="A345" t="str">
            <v>P1475</v>
          </cell>
          <cell r="C345">
            <v>1</v>
          </cell>
        </row>
        <row r="346">
          <cell r="A346" t="str">
            <v>P1477</v>
          </cell>
          <cell r="C346">
            <v>1</v>
          </cell>
        </row>
        <row r="347">
          <cell r="A347" t="str">
            <v>P1479</v>
          </cell>
          <cell r="C347">
            <v>1</v>
          </cell>
        </row>
        <row r="348">
          <cell r="A348" t="str">
            <v>P1481</v>
          </cell>
          <cell r="C348">
            <v>1</v>
          </cell>
        </row>
        <row r="349">
          <cell r="A349" t="str">
            <v>P1483</v>
          </cell>
          <cell r="C349">
            <v>1</v>
          </cell>
        </row>
        <row r="350">
          <cell r="A350" t="str">
            <v>P1485</v>
          </cell>
          <cell r="C350">
            <v>1</v>
          </cell>
        </row>
        <row r="351">
          <cell r="A351" t="str">
            <v>P1487</v>
          </cell>
          <cell r="C351">
            <v>1</v>
          </cell>
        </row>
        <row r="352">
          <cell r="A352" t="str">
            <v>P1489</v>
          </cell>
          <cell r="C352">
            <v>1</v>
          </cell>
        </row>
        <row r="353">
          <cell r="A353" t="str">
            <v>P1491</v>
          </cell>
          <cell r="C353">
            <v>2</v>
          </cell>
        </row>
        <row r="354">
          <cell r="A354" t="str">
            <v>P1493</v>
          </cell>
          <cell r="C354">
            <v>2</v>
          </cell>
        </row>
        <row r="355">
          <cell r="A355" t="str">
            <v>P1495</v>
          </cell>
          <cell r="C355">
            <v>2</v>
          </cell>
        </row>
        <row r="356">
          <cell r="A356" t="str">
            <v>P1497</v>
          </cell>
          <cell r="C356">
            <v>2</v>
          </cell>
        </row>
        <row r="357">
          <cell r="A357" t="str">
            <v>P1499</v>
          </cell>
          <cell r="C357">
            <v>2</v>
          </cell>
        </row>
        <row r="358">
          <cell r="A358" t="str">
            <v>P1503</v>
          </cell>
          <cell r="C358">
            <v>2</v>
          </cell>
        </row>
        <row r="359">
          <cell r="A359" t="str">
            <v>P1505</v>
          </cell>
          <cell r="C359">
            <v>2</v>
          </cell>
        </row>
        <row r="360">
          <cell r="A360" t="str">
            <v>P1507</v>
          </cell>
          <cell r="C360">
            <v>2</v>
          </cell>
        </row>
        <row r="361">
          <cell r="A361" t="str">
            <v>P1509</v>
          </cell>
          <cell r="C361">
            <v>2</v>
          </cell>
        </row>
        <row r="362">
          <cell r="A362" t="str">
            <v>P1511</v>
          </cell>
          <cell r="C362">
            <v>2</v>
          </cell>
        </row>
        <row r="363">
          <cell r="A363" t="str">
            <v>P1513</v>
          </cell>
          <cell r="C363">
            <v>2</v>
          </cell>
        </row>
        <row r="364">
          <cell r="A364" t="str">
            <v>P1515</v>
          </cell>
          <cell r="C364">
            <v>1</v>
          </cell>
        </row>
        <row r="365">
          <cell r="A365" t="str">
            <v>P1517</v>
          </cell>
          <cell r="C365">
            <v>1</v>
          </cell>
        </row>
        <row r="366">
          <cell r="A366" t="str">
            <v>P1519</v>
          </cell>
          <cell r="C366">
            <v>1</v>
          </cell>
        </row>
        <row r="367">
          <cell r="A367" t="str">
            <v>P1521</v>
          </cell>
          <cell r="C367">
            <v>1</v>
          </cell>
        </row>
        <row r="368">
          <cell r="A368" t="str">
            <v>P1523</v>
          </cell>
          <cell r="C368">
            <v>1</v>
          </cell>
        </row>
        <row r="369">
          <cell r="A369" t="str">
            <v>P1525</v>
          </cell>
          <cell r="C369">
            <v>1</v>
          </cell>
        </row>
        <row r="370">
          <cell r="A370" t="str">
            <v>P1527</v>
          </cell>
          <cell r="C370">
            <v>1</v>
          </cell>
        </row>
        <row r="371">
          <cell r="A371" t="str">
            <v>P1529</v>
          </cell>
          <cell r="C371">
            <v>1</v>
          </cell>
        </row>
        <row r="372">
          <cell r="A372" t="str">
            <v>P1531</v>
          </cell>
          <cell r="C372">
            <v>1</v>
          </cell>
        </row>
        <row r="373">
          <cell r="A373" t="str">
            <v>P1533</v>
          </cell>
          <cell r="C373">
            <v>1</v>
          </cell>
        </row>
        <row r="374">
          <cell r="A374" t="str">
            <v>P1535</v>
          </cell>
          <cell r="C374">
            <v>2</v>
          </cell>
        </row>
        <row r="375">
          <cell r="A375" t="str">
            <v>P1537</v>
          </cell>
          <cell r="C375">
            <v>2</v>
          </cell>
        </row>
        <row r="376">
          <cell r="A376" t="str">
            <v>P1539</v>
          </cell>
          <cell r="C376">
            <v>2</v>
          </cell>
        </row>
        <row r="377">
          <cell r="A377" t="str">
            <v>P1541</v>
          </cell>
          <cell r="C377">
            <v>1</v>
          </cell>
        </row>
        <row r="378">
          <cell r="A378" t="str">
            <v>P1543</v>
          </cell>
          <cell r="C378">
            <v>1</v>
          </cell>
        </row>
        <row r="379">
          <cell r="A379" t="str">
            <v>P1545</v>
          </cell>
          <cell r="C379">
            <v>1</v>
          </cell>
        </row>
        <row r="380">
          <cell r="A380" t="str">
            <v>P1547</v>
          </cell>
          <cell r="C380">
            <v>1</v>
          </cell>
        </row>
        <row r="381">
          <cell r="A381" t="str">
            <v>P1549</v>
          </cell>
          <cell r="C381">
            <v>2</v>
          </cell>
        </row>
        <row r="382">
          <cell r="A382" t="str">
            <v>P1551</v>
          </cell>
          <cell r="C382">
            <v>1</v>
          </cell>
        </row>
        <row r="383">
          <cell r="A383" t="str">
            <v>P1553</v>
          </cell>
          <cell r="C383">
            <v>1</v>
          </cell>
        </row>
        <row r="384">
          <cell r="A384" t="str">
            <v>P1555</v>
          </cell>
          <cell r="C384">
            <v>1</v>
          </cell>
        </row>
        <row r="385">
          <cell r="A385" t="str">
            <v>P1557</v>
          </cell>
          <cell r="C385">
            <v>1</v>
          </cell>
        </row>
        <row r="386">
          <cell r="A386" t="str">
            <v>P1559</v>
          </cell>
          <cell r="C386">
            <v>1</v>
          </cell>
        </row>
        <row r="387">
          <cell r="A387" t="str">
            <v>P1561</v>
          </cell>
          <cell r="C387">
            <v>1</v>
          </cell>
        </row>
        <row r="388">
          <cell r="A388" t="str">
            <v>P_INTERCONNECTION</v>
          </cell>
          <cell r="C388">
            <v>1</v>
          </cell>
        </row>
        <row r="389">
          <cell r="A389" t="str">
            <v>P2337</v>
          </cell>
          <cell r="C389">
            <v>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uisa_wConduits_Risk_Table(wPipes_Nominal_Flow)" connectionId="1" xr16:uid="{E96BDD71-3D4A-DC4D-80E5-150F9D83185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47F1-28E1-2C49-9779-DD541361415C}">
  <dimension ref="A1:BH389"/>
  <sheetViews>
    <sheetView topLeftCell="AD1" zoomScale="90" zoomScaleNormal="90" workbookViewId="0">
      <selection activeCell="AU3" sqref="AU3"/>
    </sheetView>
  </sheetViews>
  <sheetFormatPr baseColWidth="10" defaultRowHeight="16" x14ac:dyDescent="0.2"/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980</v>
      </c>
      <c r="AT1" t="s">
        <v>981</v>
      </c>
      <c r="AU1" t="s">
        <v>440</v>
      </c>
      <c r="AV1">
        <f>0.9</f>
        <v>0.9</v>
      </c>
      <c r="AW1">
        <v>0.78</v>
      </c>
      <c r="AX1">
        <v>0.5</v>
      </c>
      <c r="AY1">
        <v>0.16250000000000001</v>
      </c>
      <c r="AZ1" t="s">
        <v>441</v>
      </c>
    </row>
    <row r="2" spans="1:60" x14ac:dyDescent="0.2">
      <c r="A2">
        <v>1</v>
      </c>
      <c r="B2" t="s">
        <v>44</v>
      </c>
      <c r="C2">
        <v>0</v>
      </c>
      <c r="H2" t="s">
        <v>44</v>
      </c>
      <c r="I2" t="s">
        <v>45</v>
      </c>
      <c r="Q2" t="s">
        <v>44</v>
      </c>
      <c r="R2">
        <v>49.271155159999999</v>
      </c>
      <c r="S2">
        <v>6</v>
      </c>
      <c r="T2">
        <v>130</v>
      </c>
      <c r="V2">
        <v>0</v>
      </c>
      <c r="W2">
        <v>0</v>
      </c>
      <c r="X2" t="s">
        <v>44</v>
      </c>
      <c r="Y2">
        <v>0</v>
      </c>
      <c r="Z2">
        <v>6</v>
      </c>
      <c r="AA2">
        <v>49.27</v>
      </c>
      <c r="AB2">
        <v>130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49.271155159999999</v>
      </c>
      <c r="AR2">
        <v>0</v>
      </c>
      <c r="AS2">
        <f>_xlfn.XLOOKUP(B2,InstallDate!$H$2:$H$389,InstallDate!$BE$2:$BE$389)</f>
        <v>0</v>
      </c>
      <c r="AT2">
        <f>IF(COUNTIF(AR2:AS2,1)=0,0,SUM(AR2:AS2)/COUNTIF(AR2:AS2,1))</f>
        <v>0</v>
      </c>
      <c r="AU2">
        <f t="shared" ref="AU2:AU65" si="0">AC2/MAX($AC$2:$AC$389)</f>
        <v>0</v>
      </c>
      <c r="AV2">
        <f>IF($AU2&gt;=_xlfn.PERCENTILE.INC($AU$2:$AU$369,AV$1),4,0)</f>
        <v>0</v>
      </c>
      <c r="AW2">
        <f>IF($AU2&gt;=_xlfn.PERCENTILE.INC($AU$2:$AU$369,AW$1),3,0)</f>
        <v>0</v>
      </c>
      <c r="AX2">
        <f>IF($AU2&gt;=_xlfn.PERCENTILE.INC($AU$2:$AU$369,AX$1),2,0)</f>
        <v>0</v>
      </c>
      <c r="AY2">
        <f>IF(SUM(AV2:AX2)&lt;1,1,0)</f>
        <v>1</v>
      </c>
      <c r="AZ2">
        <f>IF(AND(MAX(AV2:AY2)&gt;2,AS2=1),3,IF(AND(MAX(AV2:AY2)&lt;=2,AS2=1),2,IF(AND(MAX(AV2:AY2)&gt;1,AS2=0),2,1)))</f>
        <v>1</v>
      </c>
    </row>
    <row r="3" spans="1:60" x14ac:dyDescent="0.2">
      <c r="A3">
        <v>2</v>
      </c>
      <c r="B3" t="s">
        <v>46</v>
      </c>
      <c r="C3">
        <v>0</v>
      </c>
      <c r="H3" t="s">
        <v>46</v>
      </c>
      <c r="I3" t="s">
        <v>45</v>
      </c>
      <c r="Q3" t="s">
        <v>46</v>
      </c>
      <c r="R3">
        <v>37.541067200000001</v>
      </c>
      <c r="S3">
        <v>6</v>
      </c>
      <c r="T3">
        <v>130</v>
      </c>
      <c r="V3">
        <v>0</v>
      </c>
      <c r="W3">
        <v>0</v>
      </c>
      <c r="X3" t="s">
        <v>46</v>
      </c>
      <c r="Y3">
        <v>0</v>
      </c>
      <c r="Z3">
        <v>6</v>
      </c>
      <c r="AA3">
        <v>37.54</v>
      </c>
      <c r="AB3">
        <v>130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37.541067200000001</v>
      </c>
      <c r="AR3">
        <v>0</v>
      </c>
      <c r="AS3">
        <f>_xlfn.XLOOKUP(B3,InstallDate!$H$2:$H$389,InstallDate!$BE$2:$BE$389)</f>
        <v>0</v>
      </c>
      <c r="AT3">
        <f t="shared" ref="AT3:AT66" si="1">IF(COUNTIF(AR3:AS3,1)=0,0,SUM(AR3:AS3)/COUNTIF(AR3:AS3,1))</f>
        <v>0</v>
      </c>
      <c r="AU3">
        <f t="shared" si="0"/>
        <v>0</v>
      </c>
      <c r="AV3">
        <f t="shared" ref="AV3:AV66" si="2">IF($AU3&gt;=_xlfn.PERCENTILE.INC($AU$2:$AU$369,AV$1),4,0)</f>
        <v>0</v>
      </c>
      <c r="AW3">
        <f t="shared" ref="AW3:AW66" si="3">IF($AU3&gt;=_xlfn.PERCENTILE.INC($AU$2:$AU$369,AW$1),3,0)</f>
        <v>0</v>
      </c>
      <c r="AX3">
        <f t="shared" ref="AX3:AX66" si="4">IF($AU3&gt;=_xlfn.PERCENTILE.INC($AU$2:$AU$369,AX$1),2,0)</f>
        <v>0</v>
      </c>
      <c r="AY3">
        <f t="shared" ref="AY3:AY66" si="5">IF(SUM(AV3:AX3)&lt;1,1,0)</f>
        <v>1</v>
      </c>
      <c r="AZ3">
        <f t="shared" ref="AZ3:AZ65" si="6">IF(AND(MAX(AV3:AY3)&gt;2,AS3=1),3,IF(AND(MAX(AV3:AY3)&lt;=2,AS3=1),2,IF(AND(MAX(AV3:AY3)&gt;1,AS3=0),2,1)))</f>
        <v>1</v>
      </c>
      <c r="BF3">
        <v>0</v>
      </c>
      <c r="BG3">
        <v>1</v>
      </c>
    </row>
    <row r="4" spans="1:60" x14ac:dyDescent="0.2">
      <c r="A4">
        <v>3</v>
      </c>
      <c r="B4" t="s">
        <v>47</v>
      </c>
      <c r="C4">
        <v>0</v>
      </c>
      <c r="H4" t="s">
        <v>47</v>
      </c>
      <c r="I4" t="s">
        <v>45</v>
      </c>
      <c r="Q4" t="s">
        <v>47</v>
      </c>
      <c r="R4">
        <v>22.046683529999999</v>
      </c>
      <c r="S4">
        <v>6</v>
      </c>
      <c r="T4">
        <v>130</v>
      </c>
      <c r="V4">
        <v>0</v>
      </c>
      <c r="W4">
        <v>0</v>
      </c>
      <c r="X4" t="s">
        <v>47</v>
      </c>
      <c r="Y4">
        <v>0</v>
      </c>
      <c r="Z4">
        <v>6</v>
      </c>
      <c r="AA4">
        <v>22.05</v>
      </c>
      <c r="AB4">
        <v>130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22.046683529999999</v>
      </c>
      <c r="AR4">
        <v>0</v>
      </c>
      <c r="AS4">
        <f>_xlfn.XLOOKUP(B4,InstallDate!$H$2:$H$389,InstallDate!$BE$2:$BE$389)</f>
        <v>0</v>
      </c>
      <c r="AT4">
        <f t="shared" si="1"/>
        <v>0</v>
      </c>
      <c r="AU4">
        <f t="shared" si="0"/>
        <v>0</v>
      </c>
      <c r="AV4">
        <f t="shared" si="2"/>
        <v>0</v>
      </c>
      <c r="AW4">
        <f t="shared" si="3"/>
        <v>0</v>
      </c>
      <c r="AX4">
        <f t="shared" si="4"/>
        <v>0</v>
      </c>
      <c r="AY4">
        <f t="shared" si="5"/>
        <v>1</v>
      </c>
      <c r="AZ4">
        <f t="shared" si="6"/>
        <v>1</v>
      </c>
      <c r="BF4" s="2"/>
      <c r="BG4" s="1">
        <f>COUNTIF($AZ$2:$AZ$389,3)</f>
        <v>45</v>
      </c>
      <c r="BH4">
        <f>0.9</f>
        <v>0.9</v>
      </c>
    </row>
    <row r="5" spans="1:60" x14ac:dyDescent="0.2">
      <c r="A5">
        <v>4</v>
      </c>
      <c r="B5" t="s">
        <v>48</v>
      </c>
      <c r="C5">
        <v>0</v>
      </c>
      <c r="H5" t="s">
        <v>48</v>
      </c>
      <c r="I5" t="s">
        <v>45</v>
      </c>
      <c r="Q5" t="s">
        <v>48</v>
      </c>
      <c r="R5">
        <v>25.52698036</v>
      </c>
      <c r="S5">
        <v>6</v>
      </c>
      <c r="T5">
        <v>130</v>
      </c>
      <c r="V5">
        <v>0</v>
      </c>
      <c r="W5">
        <v>0</v>
      </c>
      <c r="X5" t="s">
        <v>48</v>
      </c>
      <c r="Y5">
        <v>0</v>
      </c>
      <c r="Z5">
        <v>6</v>
      </c>
      <c r="AA5">
        <v>25.53</v>
      </c>
      <c r="AB5">
        <v>130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25.52698036</v>
      </c>
      <c r="AR5">
        <v>0</v>
      </c>
      <c r="AS5">
        <f>_xlfn.XLOOKUP(B5,InstallDate!$H$2:$H$389,InstallDate!$BE$2:$BE$389)</f>
        <v>0</v>
      </c>
      <c r="AT5">
        <f t="shared" si="1"/>
        <v>0</v>
      </c>
      <c r="AU5">
        <f t="shared" si="0"/>
        <v>0</v>
      </c>
      <c r="AV5">
        <f t="shared" si="2"/>
        <v>0</v>
      </c>
      <c r="AW5">
        <f t="shared" si="3"/>
        <v>0</v>
      </c>
      <c r="AX5">
        <f t="shared" si="4"/>
        <v>0</v>
      </c>
      <c r="AY5">
        <f t="shared" si="5"/>
        <v>1</v>
      </c>
      <c r="AZ5">
        <f t="shared" si="6"/>
        <v>1</v>
      </c>
      <c r="BF5" s="2"/>
      <c r="BG5" s="1"/>
      <c r="BH5">
        <v>0.78</v>
      </c>
    </row>
    <row r="6" spans="1:60" x14ac:dyDescent="0.2">
      <c r="A6">
        <v>5</v>
      </c>
      <c r="B6" t="s">
        <v>49</v>
      </c>
      <c r="C6">
        <v>0</v>
      </c>
      <c r="H6" t="s">
        <v>49</v>
      </c>
      <c r="I6" t="s">
        <v>45</v>
      </c>
      <c r="Q6" t="s">
        <v>49</v>
      </c>
      <c r="R6">
        <v>30.261046539999999</v>
      </c>
      <c r="S6">
        <v>6</v>
      </c>
      <c r="T6">
        <v>130</v>
      </c>
      <c r="V6">
        <v>0</v>
      </c>
      <c r="W6">
        <v>0</v>
      </c>
      <c r="X6" t="s">
        <v>49</v>
      </c>
      <c r="Y6">
        <v>0</v>
      </c>
      <c r="Z6">
        <v>6</v>
      </c>
      <c r="AA6">
        <v>30.26</v>
      </c>
      <c r="AB6">
        <v>130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30.261046539999999</v>
      </c>
      <c r="AR6">
        <v>0</v>
      </c>
      <c r="AS6">
        <f>_xlfn.XLOOKUP(B6,InstallDate!$H$2:$H$389,InstallDate!$BE$2:$BE$389)</f>
        <v>0</v>
      </c>
      <c r="AT6">
        <f t="shared" si="1"/>
        <v>0</v>
      </c>
      <c r="AU6">
        <f t="shared" si="0"/>
        <v>0</v>
      </c>
      <c r="AV6">
        <f t="shared" si="2"/>
        <v>0</v>
      </c>
      <c r="AW6">
        <f t="shared" si="3"/>
        <v>0</v>
      </c>
      <c r="AX6">
        <f t="shared" si="4"/>
        <v>0</v>
      </c>
      <c r="AY6">
        <f t="shared" si="5"/>
        <v>1</v>
      </c>
      <c r="AZ6">
        <f t="shared" si="6"/>
        <v>1</v>
      </c>
      <c r="BF6" s="3"/>
      <c r="BG6" s="2">
        <f>COUNTIF($AZ$2:$AZ$389,2)</f>
        <v>173</v>
      </c>
      <c r="BH6">
        <v>0.5</v>
      </c>
    </row>
    <row r="7" spans="1:60" x14ac:dyDescent="0.2">
      <c r="A7">
        <v>6</v>
      </c>
      <c r="B7" t="s">
        <v>50</v>
      </c>
      <c r="C7">
        <v>0</v>
      </c>
      <c r="H7" t="s">
        <v>50</v>
      </c>
      <c r="I7" t="s">
        <v>45</v>
      </c>
      <c r="Q7" t="s">
        <v>50</v>
      </c>
      <c r="R7">
        <v>28.800562679999999</v>
      </c>
      <c r="S7">
        <v>6</v>
      </c>
      <c r="T7">
        <v>130</v>
      </c>
      <c r="V7">
        <v>0</v>
      </c>
      <c r="W7">
        <v>0</v>
      </c>
      <c r="X7" t="s">
        <v>50</v>
      </c>
      <c r="Y7">
        <v>0</v>
      </c>
      <c r="Z7">
        <v>6</v>
      </c>
      <c r="AA7">
        <v>28.8</v>
      </c>
      <c r="AB7">
        <v>130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28.800562679999999</v>
      </c>
      <c r="AR7">
        <v>0</v>
      </c>
      <c r="AS7">
        <f>_xlfn.XLOOKUP(B7,InstallDate!$H$2:$H$389,InstallDate!$BE$2:$BE$389)</f>
        <v>0</v>
      </c>
      <c r="AT7">
        <f t="shared" si="1"/>
        <v>0</v>
      </c>
      <c r="AU7">
        <f t="shared" si="0"/>
        <v>0</v>
      </c>
      <c r="AV7">
        <f t="shared" si="2"/>
        <v>0</v>
      </c>
      <c r="AW7">
        <f t="shared" si="3"/>
        <v>0</v>
      </c>
      <c r="AX7">
        <f t="shared" si="4"/>
        <v>0</v>
      </c>
      <c r="AY7">
        <f t="shared" si="5"/>
        <v>1</v>
      </c>
      <c r="AZ7">
        <f t="shared" si="6"/>
        <v>1</v>
      </c>
      <c r="BF7" s="3"/>
      <c r="BG7" s="3">
        <f>COUNTIF($AZ$2:$AZ$389,1)</f>
        <v>170</v>
      </c>
      <c r="BH7">
        <v>0.16250000000000001</v>
      </c>
    </row>
    <row r="8" spans="1:60" x14ac:dyDescent="0.2">
      <c r="A8">
        <v>7</v>
      </c>
      <c r="B8" t="s">
        <v>51</v>
      </c>
      <c r="C8">
        <v>0</v>
      </c>
      <c r="H8" t="s">
        <v>51</v>
      </c>
      <c r="I8" t="s">
        <v>45</v>
      </c>
      <c r="Q8" t="s">
        <v>51</v>
      </c>
      <c r="R8">
        <v>29.68609279</v>
      </c>
      <c r="S8">
        <v>6</v>
      </c>
      <c r="T8">
        <v>130</v>
      </c>
      <c r="V8">
        <v>0</v>
      </c>
      <c r="W8">
        <v>0</v>
      </c>
      <c r="X8" t="s">
        <v>51</v>
      </c>
      <c r="Y8">
        <v>0</v>
      </c>
      <c r="Z8">
        <v>6</v>
      </c>
      <c r="AA8">
        <v>29.69</v>
      </c>
      <c r="AB8">
        <v>130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29.68609279</v>
      </c>
      <c r="AR8">
        <v>0</v>
      </c>
      <c r="AS8">
        <f>_xlfn.XLOOKUP(B8,InstallDate!$H$2:$H$389,InstallDate!$BE$2:$BE$389)</f>
        <v>0</v>
      </c>
      <c r="AT8">
        <f t="shared" si="1"/>
        <v>0</v>
      </c>
      <c r="AU8">
        <f t="shared" si="0"/>
        <v>0</v>
      </c>
      <c r="AV8">
        <f t="shared" si="2"/>
        <v>0</v>
      </c>
      <c r="AW8">
        <f t="shared" si="3"/>
        <v>0</v>
      </c>
      <c r="AX8">
        <f t="shared" si="4"/>
        <v>0</v>
      </c>
      <c r="AY8">
        <f t="shared" si="5"/>
        <v>1</v>
      </c>
      <c r="AZ8">
        <f t="shared" si="6"/>
        <v>1</v>
      </c>
      <c r="BG8">
        <f>SUM(BG6:BG7)</f>
        <v>343</v>
      </c>
    </row>
    <row r="9" spans="1:60" x14ac:dyDescent="0.2">
      <c r="A9">
        <v>8</v>
      </c>
      <c r="B9" t="s">
        <v>52</v>
      </c>
      <c r="C9">
        <v>0</v>
      </c>
      <c r="H9" t="s">
        <v>52</v>
      </c>
      <c r="I9" t="s">
        <v>45</v>
      </c>
      <c r="Q9" t="s">
        <v>52</v>
      </c>
      <c r="R9">
        <v>23.980234899999999</v>
      </c>
      <c r="S9">
        <v>6</v>
      </c>
      <c r="T9">
        <v>130</v>
      </c>
      <c r="V9">
        <v>0</v>
      </c>
      <c r="W9">
        <v>0</v>
      </c>
      <c r="X9" t="s">
        <v>52</v>
      </c>
      <c r="Y9">
        <v>0</v>
      </c>
      <c r="Z9">
        <v>6</v>
      </c>
      <c r="AA9">
        <v>23.98</v>
      </c>
      <c r="AB9">
        <v>130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23.980234899999999</v>
      </c>
      <c r="AR9">
        <v>0</v>
      </c>
      <c r="AS9">
        <f>_xlfn.XLOOKUP(B9,InstallDate!$H$2:$H$389,InstallDate!$BE$2:$BE$389)</f>
        <v>0</v>
      </c>
      <c r="AT9">
        <f t="shared" si="1"/>
        <v>0</v>
      </c>
      <c r="AU9">
        <f t="shared" si="0"/>
        <v>0</v>
      </c>
      <c r="AV9">
        <f t="shared" si="2"/>
        <v>0</v>
      </c>
      <c r="AW9">
        <f t="shared" si="3"/>
        <v>0</v>
      </c>
      <c r="AX9">
        <f t="shared" si="4"/>
        <v>0</v>
      </c>
      <c r="AY9">
        <f t="shared" si="5"/>
        <v>1</v>
      </c>
      <c r="AZ9">
        <f t="shared" si="6"/>
        <v>1</v>
      </c>
    </row>
    <row r="10" spans="1:60" x14ac:dyDescent="0.2">
      <c r="A10">
        <v>9</v>
      </c>
      <c r="B10" t="s">
        <v>53</v>
      </c>
      <c r="C10">
        <v>0</v>
      </c>
      <c r="H10" t="s">
        <v>53</v>
      </c>
      <c r="I10" t="s">
        <v>45</v>
      </c>
      <c r="Q10" t="s">
        <v>53</v>
      </c>
      <c r="R10">
        <v>169.1278993</v>
      </c>
      <c r="S10">
        <v>6</v>
      </c>
      <c r="T10">
        <v>130</v>
      </c>
      <c r="V10">
        <v>0</v>
      </c>
      <c r="W10">
        <v>0</v>
      </c>
      <c r="X10" t="s">
        <v>53</v>
      </c>
      <c r="Y10">
        <v>0</v>
      </c>
      <c r="Z10">
        <v>6</v>
      </c>
      <c r="AA10">
        <v>169.13</v>
      </c>
      <c r="AB10">
        <v>130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169.1278993</v>
      </c>
      <c r="AR10">
        <v>0</v>
      </c>
      <c r="AS10">
        <f>_xlfn.XLOOKUP(B10,InstallDate!$H$2:$H$389,InstallDate!$BE$2:$BE$389)</f>
        <v>0</v>
      </c>
      <c r="AT10">
        <f t="shared" si="1"/>
        <v>0</v>
      </c>
      <c r="AU10">
        <f t="shared" si="0"/>
        <v>0</v>
      </c>
      <c r="AV10">
        <f t="shared" si="2"/>
        <v>0</v>
      </c>
      <c r="AW10">
        <f t="shared" si="3"/>
        <v>0</v>
      </c>
      <c r="AX10">
        <f t="shared" si="4"/>
        <v>0</v>
      </c>
      <c r="AY10">
        <f t="shared" si="5"/>
        <v>1</v>
      </c>
      <c r="AZ10">
        <f t="shared" si="6"/>
        <v>1</v>
      </c>
    </row>
    <row r="11" spans="1:60" x14ac:dyDescent="0.2">
      <c r="A11">
        <v>10</v>
      </c>
      <c r="B11" t="s">
        <v>54</v>
      </c>
      <c r="C11">
        <v>0</v>
      </c>
      <c r="H11" t="s">
        <v>54</v>
      </c>
      <c r="I11" t="s">
        <v>45</v>
      </c>
      <c r="Q11" t="s">
        <v>54</v>
      </c>
      <c r="R11">
        <v>14.144056920000001</v>
      </c>
      <c r="S11">
        <v>6</v>
      </c>
      <c r="T11">
        <v>130</v>
      </c>
      <c r="V11">
        <v>0</v>
      </c>
      <c r="W11">
        <v>0</v>
      </c>
      <c r="X11" t="s">
        <v>54</v>
      </c>
      <c r="Y11">
        <v>0</v>
      </c>
      <c r="Z11">
        <v>6</v>
      </c>
      <c r="AA11">
        <v>14.14</v>
      </c>
      <c r="AB11">
        <v>130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14.144056920000001</v>
      </c>
      <c r="AR11">
        <v>0</v>
      </c>
      <c r="AS11">
        <f>_xlfn.XLOOKUP(B11,InstallDate!$H$2:$H$389,InstallDate!$BE$2:$BE$389)</f>
        <v>0</v>
      </c>
      <c r="AT11">
        <f t="shared" si="1"/>
        <v>0</v>
      </c>
      <c r="AU11">
        <f t="shared" si="0"/>
        <v>0</v>
      </c>
      <c r="AV11">
        <f t="shared" si="2"/>
        <v>0</v>
      </c>
      <c r="AW11">
        <f t="shared" si="3"/>
        <v>0</v>
      </c>
      <c r="AX11">
        <f t="shared" si="4"/>
        <v>0</v>
      </c>
      <c r="AY11">
        <f t="shared" si="5"/>
        <v>1</v>
      </c>
      <c r="AZ11">
        <f t="shared" si="6"/>
        <v>1</v>
      </c>
    </row>
    <row r="12" spans="1:60" x14ac:dyDescent="0.2">
      <c r="A12">
        <v>11</v>
      </c>
      <c r="B12" t="s">
        <v>55</v>
      </c>
      <c r="C12">
        <v>0</v>
      </c>
      <c r="H12" t="s">
        <v>55</v>
      </c>
      <c r="I12" t="s">
        <v>45</v>
      </c>
      <c r="Q12" t="s">
        <v>55</v>
      </c>
      <c r="R12">
        <v>23.35630621</v>
      </c>
      <c r="S12">
        <v>6</v>
      </c>
      <c r="T12">
        <v>130</v>
      </c>
      <c r="V12">
        <v>0</v>
      </c>
      <c r="W12">
        <v>0</v>
      </c>
      <c r="X12" t="s">
        <v>55</v>
      </c>
      <c r="Y12">
        <v>0</v>
      </c>
      <c r="Z12">
        <v>6</v>
      </c>
      <c r="AA12">
        <v>23.36</v>
      </c>
      <c r="AB12">
        <v>130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23.35630621</v>
      </c>
      <c r="AR12">
        <v>0</v>
      </c>
      <c r="AS12">
        <f>_xlfn.XLOOKUP(B12,InstallDate!$H$2:$H$389,InstallDate!$BE$2:$BE$389)</f>
        <v>0</v>
      </c>
      <c r="AT12">
        <f t="shared" si="1"/>
        <v>0</v>
      </c>
      <c r="AU12">
        <f t="shared" si="0"/>
        <v>0</v>
      </c>
      <c r="AV12">
        <f t="shared" si="2"/>
        <v>0</v>
      </c>
      <c r="AW12">
        <f t="shared" si="3"/>
        <v>0</v>
      </c>
      <c r="AX12">
        <f t="shared" si="4"/>
        <v>0</v>
      </c>
      <c r="AY12">
        <f t="shared" si="5"/>
        <v>1</v>
      </c>
      <c r="AZ12">
        <f t="shared" si="6"/>
        <v>1</v>
      </c>
    </row>
    <row r="13" spans="1:60" x14ac:dyDescent="0.2">
      <c r="A13">
        <v>12</v>
      </c>
      <c r="B13" t="s">
        <v>56</v>
      </c>
      <c r="C13">
        <v>0</v>
      </c>
      <c r="H13" t="s">
        <v>56</v>
      </c>
      <c r="I13" t="s">
        <v>45</v>
      </c>
      <c r="Q13" t="s">
        <v>56</v>
      </c>
      <c r="R13">
        <v>12.92421848</v>
      </c>
      <c r="S13">
        <v>6</v>
      </c>
      <c r="T13">
        <v>130</v>
      </c>
      <c r="V13">
        <v>0</v>
      </c>
      <c r="W13">
        <v>0</v>
      </c>
      <c r="X13" t="s">
        <v>56</v>
      </c>
      <c r="Y13">
        <v>0</v>
      </c>
      <c r="Z13">
        <v>6</v>
      </c>
      <c r="AA13">
        <v>12.92</v>
      </c>
      <c r="AB13">
        <v>130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12.92421848</v>
      </c>
      <c r="AR13">
        <v>0</v>
      </c>
      <c r="AS13">
        <f>_xlfn.XLOOKUP(B13,InstallDate!$H$2:$H$389,InstallDate!$BE$2:$BE$389)</f>
        <v>0</v>
      </c>
      <c r="AT13">
        <f t="shared" si="1"/>
        <v>0</v>
      </c>
      <c r="AU13">
        <f t="shared" si="0"/>
        <v>0</v>
      </c>
      <c r="AV13">
        <f t="shared" si="2"/>
        <v>0</v>
      </c>
      <c r="AW13">
        <f t="shared" si="3"/>
        <v>0</v>
      </c>
      <c r="AX13">
        <f t="shared" si="4"/>
        <v>0</v>
      </c>
      <c r="AY13">
        <f t="shared" si="5"/>
        <v>1</v>
      </c>
      <c r="AZ13">
        <f t="shared" si="6"/>
        <v>1</v>
      </c>
    </row>
    <row r="14" spans="1:60" x14ac:dyDescent="0.2">
      <c r="A14">
        <v>13</v>
      </c>
      <c r="B14" t="s">
        <v>57</v>
      </c>
      <c r="C14">
        <v>0</v>
      </c>
      <c r="H14" t="s">
        <v>57</v>
      </c>
      <c r="I14" t="s">
        <v>45</v>
      </c>
      <c r="Q14" t="s">
        <v>57</v>
      </c>
      <c r="R14">
        <v>64.144728439999994</v>
      </c>
      <c r="S14">
        <v>6</v>
      </c>
      <c r="T14">
        <v>130</v>
      </c>
      <c r="V14">
        <v>0</v>
      </c>
      <c r="W14">
        <v>0</v>
      </c>
      <c r="X14" t="s">
        <v>57</v>
      </c>
      <c r="Y14">
        <v>0</v>
      </c>
      <c r="Z14">
        <v>6</v>
      </c>
      <c r="AA14">
        <v>64.14</v>
      </c>
      <c r="AB14">
        <v>130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64.144728439999994</v>
      </c>
      <c r="AR14">
        <v>0</v>
      </c>
      <c r="AS14">
        <f>_xlfn.XLOOKUP(B14,InstallDate!$H$2:$H$389,InstallDate!$BE$2:$BE$389)</f>
        <v>0</v>
      </c>
      <c r="AT14">
        <f t="shared" si="1"/>
        <v>0</v>
      </c>
      <c r="AU14">
        <f t="shared" si="0"/>
        <v>0</v>
      </c>
      <c r="AV14">
        <f t="shared" si="2"/>
        <v>0</v>
      </c>
      <c r="AW14">
        <f t="shared" si="3"/>
        <v>0</v>
      </c>
      <c r="AX14">
        <f t="shared" si="4"/>
        <v>0</v>
      </c>
      <c r="AY14">
        <f t="shared" si="5"/>
        <v>1</v>
      </c>
      <c r="AZ14">
        <f t="shared" si="6"/>
        <v>1</v>
      </c>
    </row>
    <row r="15" spans="1:60" x14ac:dyDescent="0.2">
      <c r="A15">
        <v>14</v>
      </c>
      <c r="B15" t="s">
        <v>58</v>
      </c>
      <c r="C15">
        <v>0</v>
      </c>
      <c r="H15" t="s">
        <v>58</v>
      </c>
      <c r="I15" t="s">
        <v>45</v>
      </c>
      <c r="Q15" t="s">
        <v>58</v>
      </c>
      <c r="R15">
        <v>43.590494</v>
      </c>
      <c r="S15">
        <v>6</v>
      </c>
      <c r="T15">
        <v>130</v>
      </c>
      <c r="V15">
        <v>0</v>
      </c>
      <c r="W15">
        <v>0</v>
      </c>
      <c r="X15" t="s">
        <v>58</v>
      </c>
      <c r="Y15">
        <v>0</v>
      </c>
      <c r="Z15">
        <v>6</v>
      </c>
      <c r="AA15">
        <v>43.59</v>
      </c>
      <c r="AB15">
        <v>130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43.590494</v>
      </c>
      <c r="AR15">
        <v>0</v>
      </c>
      <c r="AS15">
        <f>_xlfn.XLOOKUP(B15,InstallDate!$H$2:$H$389,InstallDate!$BE$2:$BE$389)</f>
        <v>0</v>
      </c>
      <c r="AT15">
        <f t="shared" si="1"/>
        <v>0</v>
      </c>
      <c r="AU15">
        <f t="shared" si="0"/>
        <v>0</v>
      </c>
      <c r="AV15">
        <f t="shared" si="2"/>
        <v>0</v>
      </c>
      <c r="AW15">
        <f t="shared" si="3"/>
        <v>0</v>
      </c>
      <c r="AX15">
        <f t="shared" si="4"/>
        <v>0</v>
      </c>
      <c r="AY15">
        <f t="shared" si="5"/>
        <v>1</v>
      </c>
      <c r="AZ15">
        <f t="shared" si="6"/>
        <v>1</v>
      </c>
    </row>
    <row r="16" spans="1:60" x14ac:dyDescent="0.2">
      <c r="A16">
        <v>15</v>
      </c>
      <c r="B16" t="s">
        <v>59</v>
      </c>
      <c r="C16">
        <v>0</v>
      </c>
      <c r="H16" t="s">
        <v>59</v>
      </c>
      <c r="I16" t="s">
        <v>45</v>
      </c>
      <c r="Q16" t="s">
        <v>59</v>
      </c>
      <c r="R16">
        <v>6.0643549380000001</v>
      </c>
      <c r="S16">
        <v>6</v>
      </c>
      <c r="T16">
        <v>130</v>
      </c>
      <c r="V16">
        <v>0</v>
      </c>
      <c r="W16">
        <v>0</v>
      </c>
      <c r="X16" t="s">
        <v>59</v>
      </c>
      <c r="Y16">
        <v>0</v>
      </c>
      <c r="Z16">
        <v>6</v>
      </c>
      <c r="AA16">
        <v>6.06</v>
      </c>
      <c r="AB16">
        <v>130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6.0643549380000001</v>
      </c>
      <c r="AR16">
        <v>0</v>
      </c>
      <c r="AS16">
        <f>_xlfn.XLOOKUP(B16,InstallDate!$H$2:$H$389,InstallDate!$BE$2:$BE$389)</f>
        <v>0</v>
      </c>
      <c r="AT16">
        <f t="shared" si="1"/>
        <v>0</v>
      </c>
      <c r="AU16">
        <f t="shared" si="0"/>
        <v>0</v>
      </c>
      <c r="AV16">
        <f t="shared" si="2"/>
        <v>0</v>
      </c>
      <c r="AW16">
        <f t="shared" si="3"/>
        <v>0</v>
      </c>
      <c r="AX16">
        <f t="shared" si="4"/>
        <v>0</v>
      </c>
      <c r="AY16">
        <f t="shared" si="5"/>
        <v>1</v>
      </c>
      <c r="AZ16">
        <f t="shared" si="6"/>
        <v>1</v>
      </c>
    </row>
    <row r="17" spans="1:52" x14ac:dyDescent="0.2">
      <c r="A17">
        <v>16</v>
      </c>
      <c r="B17" t="s">
        <v>60</v>
      </c>
      <c r="C17">
        <v>0</v>
      </c>
      <c r="H17" t="s">
        <v>60</v>
      </c>
      <c r="I17" t="s">
        <v>45</v>
      </c>
      <c r="Q17" t="s">
        <v>60</v>
      </c>
      <c r="R17">
        <v>36.335398810000001</v>
      </c>
      <c r="S17">
        <v>6</v>
      </c>
      <c r="T17">
        <v>130</v>
      </c>
      <c r="V17">
        <v>0</v>
      </c>
      <c r="W17">
        <v>0</v>
      </c>
      <c r="X17" t="s">
        <v>60</v>
      </c>
      <c r="Y17">
        <v>0</v>
      </c>
      <c r="Z17">
        <v>6</v>
      </c>
      <c r="AA17">
        <v>36.340000000000003</v>
      </c>
      <c r="AB17">
        <v>130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36.335398810000001</v>
      </c>
      <c r="AR17">
        <v>0</v>
      </c>
      <c r="AS17">
        <f>_xlfn.XLOOKUP(B17,InstallDate!$H$2:$H$389,InstallDate!$BE$2:$BE$389)</f>
        <v>0</v>
      </c>
      <c r="AT17">
        <f t="shared" si="1"/>
        <v>0</v>
      </c>
      <c r="AU17">
        <f t="shared" si="0"/>
        <v>0</v>
      </c>
      <c r="AV17">
        <f t="shared" si="2"/>
        <v>0</v>
      </c>
      <c r="AW17">
        <f t="shared" si="3"/>
        <v>0</v>
      </c>
      <c r="AX17">
        <f t="shared" si="4"/>
        <v>0</v>
      </c>
      <c r="AY17">
        <f t="shared" si="5"/>
        <v>1</v>
      </c>
      <c r="AZ17">
        <f t="shared" si="6"/>
        <v>1</v>
      </c>
    </row>
    <row r="18" spans="1:52" x14ac:dyDescent="0.2">
      <c r="A18">
        <v>17</v>
      </c>
      <c r="B18" t="s">
        <v>61</v>
      </c>
      <c r="C18">
        <v>0</v>
      </c>
      <c r="H18" t="s">
        <v>61</v>
      </c>
      <c r="I18" t="s">
        <v>45</v>
      </c>
      <c r="Q18" t="s">
        <v>61</v>
      </c>
      <c r="R18">
        <v>94.018540200000004</v>
      </c>
      <c r="S18">
        <v>6</v>
      </c>
      <c r="T18">
        <v>130</v>
      </c>
      <c r="V18">
        <v>0</v>
      </c>
      <c r="W18">
        <v>0</v>
      </c>
      <c r="X18" t="s">
        <v>61</v>
      </c>
      <c r="Y18">
        <v>0</v>
      </c>
      <c r="Z18">
        <v>6</v>
      </c>
      <c r="AA18">
        <v>94.02</v>
      </c>
      <c r="AB18">
        <v>130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94.018540200000004</v>
      </c>
      <c r="AR18">
        <v>0</v>
      </c>
      <c r="AS18">
        <f>_xlfn.XLOOKUP(B18,InstallDate!$H$2:$H$389,InstallDate!$BE$2:$BE$389)</f>
        <v>0</v>
      </c>
      <c r="AT18">
        <f t="shared" si="1"/>
        <v>0</v>
      </c>
      <c r="AU18">
        <f t="shared" si="0"/>
        <v>0</v>
      </c>
      <c r="AV18">
        <f t="shared" si="2"/>
        <v>0</v>
      </c>
      <c r="AW18">
        <f t="shared" si="3"/>
        <v>0</v>
      </c>
      <c r="AX18">
        <f t="shared" si="4"/>
        <v>0</v>
      </c>
      <c r="AY18">
        <f t="shared" si="5"/>
        <v>1</v>
      </c>
      <c r="AZ18">
        <f t="shared" si="6"/>
        <v>1</v>
      </c>
    </row>
    <row r="19" spans="1:52" x14ac:dyDescent="0.2">
      <c r="A19">
        <v>18</v>
      </c>
      <c r="B19" t="s">
        <v>62</v>
      </c>
      <c r="C19">
        <v>0</v>
      </c>
      <c r="H19" t="s">
        <v>62</v>
      </c>
      <c r="I19" t="s">
        <v>45</v>
      </c>
      <c r="Q19" t="s">
        <v>62</v>
      </c>
      <c r="R19">
        <v>90.921987689999995</v>
      </c>
      <c r="S19">
        <v>6</v>
      </c>
      <c r="T19">
        <v>130</v>
      </c>
      <c r="V19">
        <v>0</v>
      </c>
      <c r="W19">
        <v>0</v>
      </c>
      <c r="X19" t="s">
        <v>62</v>
      </c>
      <c r="Y19">
        <v>0</v>
      </c>
      <c r="Z19">
        <v>6</v>
      </c>
      <c r="AA19">
        <v>90.92</v>
      </c>
      <c r="AB19">
        <v>130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90.921987689999995</v>
      </c>
      <c r="AR19">
        <v>0</v>
      </c>
      <c r="AS19">
        <f>_xlfn.XLOOKUP(B19,InstallDate!$H$2:$H$389,InstallDate!$BE$2:$BE$389)</f>
        <v>0</v>
      </c>
      <c r="AT19">
        <f t="shared" si="1"/>
        <v>0</v>
      </c>
      <c r="AU19">
        <f t="shared" si="0"/>
        <v>0</v>
      </c>
      <c r="AV19">
        <f t="shared" si="2"/>
        <v>0</v>
      </c>
      <c r="AW19">
        <f t="shared" si="3"/>
        <v>0</v>
      </c>
      <c r="AX19">
        <f t="shared" si="4"/>
        <v>0</v>
      </c>
      <c r="AY19">
        <f t="shared" si="5"/>
        <v>1</v>
      </c>
      <c r="AZ19">
        <f t="shared" si="6"/>
        <v>1</v>
      </c>
    </row>
    <row r="20" spans="1:52" x14ac:dyDescent="0.2">
      <c r="A20">
        <v>19</v>
      </c>
      <c r="B20" t="s">
        <v>63</v>
      </c>
      <c r="C20">
        <v>0</v>
      </c>
      <c r="H20" t="s">
        <v>63</v>
      </c>
      <c r="I20" t="s">
        <v>45</v>
      </c>
      <c r="Q20" t="s">
        <v>63</v>
      </c>
      <c r="R20">
        <v>28.538195909999999</v>
      </c>
      <c r="S20">
        <v>6</v>
      </c>
      <c r="T20">
        <v>130</v>
      </c>
      <c r="V20">
        <v>0</v>
      </c>
      <c r="W20">
        <v>0</v>
      </c>
      <c r="X20" t="s">
        <v>63</v>
      </c>
      <c r="Y20">
        <v>0</v>
      </c>
      <c r="Z20">
        <v>6</v>
      </c>
      <c r="AA20">
        <v>28.54</v>
      </c>
      <c r="AB20">
        <v>130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28.538195909999999</v>
      </c>
      <c r="AR20">
        <v>0</v>
      </c>
      <c r="AS20">
        <f>_xlfn.XLOOKUP(B20,InstallDate!$H$2:$H$389,InstallDate!$BE$2:$BE$389)</f>
        <v>0</v>
      </c>
      <c r="AT20">
        <f t="shared" si="1"/>
        <v>0</v>
      </c>
      <c r="AU20">
        <f t="shared" si="0"/>
        <v>0</v>
      </c>
      <c r="AV20">
        <f t="shared" si="2"/>
        <v>0</v>
      </c>
      <c r="AW20">
        <f t="shared" si="3"/>
        <v>0</v>
      </c>
      <c r="AX20">
        <f t="shared" si="4"/>
        <v>0</v>
      </c>
      <c r="AY20">
        <f t="shared" si="5"/>
        <v>1</v>
      </c>
      <c r="AZ20">
        <f t="shared" si="6"/>
        <v>1</v>
      </c>
    </row>
    <row r="21" spans="1:52" x14ac:dyDescent="0.2">
      <c r="A21">
        <v>20</v>
      </c>
      <c r="B21" t="s">
        <v>64</v>
      </c>
      <c r="C21">
        <v>0</v>
      </c>
      <c r="H21" t="s">
        <v>64</v>
      </c>
      <c r="I21" t="s">
        <v>45</v>
      </c>
      <c r="Q21" t="s">
        <v>64</v>
      </c>
      <c r="R21">
        <v>49.045546739999999</v>
      </c>
      <c r="S21">
        <v>6</v>
      </c>
      <c r="T21">
        <v>130</v>
      </c>
      <c r="V21">
        <v>0</v>
      </c>
      <c r="W21">
        <v>0</v>
      </c>
      <c r="X21" t="s">
        <v>64</v>
      </c>
      <c r="Y21">
        <v>0</v>
      </c>
      <c r="Z21">
        <v>6</v>
      </c>
      <c r="AA21">
        <v>49.05</v>
      </c>
      <c r="AB21">
        <v>130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49.045546739999999</v>
      </c>
      <c r="AR21">
        <v>0</v>
      </c>
      <c r="AS21">
        <f>_xlfn.XLOOKUP(B21,InstallDate!$H$2:$H$389,InstallDate!$BE$2:$BE$389)</f>
        <v>0</v>
      </c>
      <c r="AT21">
        <f t="shared" si="1"/>
        <v>0</v>
      </c>
      <c r="AU21">
        <f t="shared" si="0"/>
        <v>0</v>
      </c>
      <c r="AV21">
        <f t="shared" si="2"/>
        <v>0</v>
      </c>
      <c r="AW21">
        <f t="shared" si="3"/>
        <v>0</v>
      </c>
      <c r="AX21">
        <f t="shared" si="4"/>
        <v>0</v>
      </c>
      <c r="AY21">
        <f t="shared" si="5"/>
        <v>1</v>
      </c>
      <c r="AZ21">
        <f t="shared" si="6"/>
        <v>1</v>
      </c>
    </row>
    <row r="22" spans="1:52" x14ac:dyDescent="0.2">
      <c r="A22">
        <v>21</v>
      </c>
      <c r="B22" t="s">
        <v>65</v>
      </c>
      <c r="C22">
        <v>0</v>
      </c>
      <c r="H22" t="s">
        <v>65</v>
      </c>
      <c r="I22" t="s">
        <v>45</v>
      </c>
      <c r="Q22" t="s">
        <v>65</v>
      </c>
      <c r="R22">
        <v>16.561143940000001</v>
      </c>
      <c r="S22">
        <v>6</v>
      </c>
      <c r="T22">
        <v>130</v>
      </c>
      <c r="V22">
        <v>0</v>
      </c>
      <c r="W22">
        <v>0</v>
      </c>
      <c r="X22" t="s">
        <v>65</v>
      </c>
      <c r="Y22">
        <v>0</v>
      </c>
      <c r="Z22">
        <v>6</v>
      </c>
      <c r="AA22">
        <v>16.559999999999999</v>
      </c>
      <c r="AB22">
        <v>130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16.56114393</v>
      </c>
      <c r="AR22">
        <v>0</v>
      </c>
      <c r="AS22">
        <f>_xlfn.XLOOKUP(B22,InstallDate!$H$2:$H$389,InstallDate!$BE$2:$BE$389)</f>
        <v>0</v>
      </c>
      <c r="AT22">
        <f t="shared" si="1"/>
        <v>0</v>
      </c>
      <c r="AU22">
        <f t="shared" si="0"/>
        <v>0</v>
      </c>
      <c r="AV22">
        <f t="shared" si="2"/>
        <v>0</v>
      </c>
      <c r="AW22">
        <f t="shared" si="3"/>
        <v>0</v>
      </c>
      <c r="AX22">
        <f t="shared" si="4"/>
        <v>0</v>
      </c>
      <c r="AY22">
        <f t="shared" si="5"/>
        <v>1</v>
      </c>
      <c r="AZ22">
        <f t="shared" si="6"/>
        <v>1</v>
      </c>
    </row>
    <row r="23" spans="1:52" x14ac:dyDescent="0.2">
      <c r="A23">
        <v>22</v>
      </c>
      <c r="B23" t="s">
        <v>66</v>
      </c>
      <c r="C23">
        <v>0</v>
      </c>
      <c r="H23" t="s">
        <v>66</v>
      </c>
      <c r="I23" t="s">
        <v>45</v>
      </c>
      <c r="Q23" t="s">
        <v>66</v>
      </c>
      <c r="R23">
        <v>10.041754709999999</v>
      </c>
      <c r="S23">
        <v>6</v>
      </c>
      <c r="T23">
        <v>130</v>
      </c>
      <c r="V23">
        <v>0</v>
      </c>
      <c r="W23">
        <v>0</v>
      </c>
      <c r="X23" t="s">
        <v>66</v>
      </c>
      <c r="Y23">
        <v>0</v>
      </c>
      <c r="Z23">
        <v>6</v>
      </c>
      <c r="AA23">
        <v>10.039999999999999</v>
      </c>
      <c r="AB23">
        <v>130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10.041754709999999</v>
      </c>
      <c r="AR23">
        <v>1</v>
      </c>
      <c r="AS23">
        <f>_xlfn.XLOOKUP(B23,InstallDate!$H$2:$H$389,InstallDate!$BE$2:$BE$389)</f>
        <v>0</v>
      </c>
      <c r="AT23">
        <f t="shared" si="1"/>
        <v>1</v>
      </c>
      <c r="AU23">
        <f t="shared" si="0"/>
        <v>0</v>
      </c>
      <c r="AV23">
        <f t="shared" si="2"/>
        <v>0</v>
      </c>
      <c r="AW23">
        <f t="shared" si="3"/>
        <v>0</v>
      </c>
      <c r="AX23">
        <f t="shared" si="4"/>
        <v>0</v>
      </c>
      <c r="AY23">
        <f t="shared" si="5"/>
        <v>1</v>
      </c>
      <c r="AZ23">
        <f t="shared" si="6"/>
        <v>1</v>
      </c>
    </row>
    <row r="24" spans="1:52" x14ac:dyDescent="0.2">
      <c r="A24">
        <v>23</v>
      </c>
      <c r="B24" t="s">
        <v>67</v>
      </c>
      <c r="C24">
        <v>0</v>
      </c>
      <c r="H24" t="s">
        <v>67</v>
      </c>
      <c r="I24" t="s">
        <v>45</v>
      </c>
      <c r="Q24" t="s">
        <v>67</v>
      </c>
      <c r="R24">
        <v>13.388279470000001</v>
      </c>
      <c r="S24">
        <v>6</v>
      </c>
      <c r="T24">
        <v>130</v>
      </c>
      <c r="V24">
        <v>0</v>
      </c>
      <c r="W24">
        <v>0</v>
      </c>
      <c r="X24" t="s">
        <v>67</v>
      </c>
      <c r="Y24">
        <v>0</v>
      </c>
      <c r="Z24">
        <v>6</v>
      </c>
      <c r="AA24">
        <v>13.39</v>
      </c>
      <c r="AB24">
        <v>130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13.38827946</v>
      </c>
      <c r="AR24">
        <v>0</v>
      </c>
      <c r="AS24">
        <f>_xlfn.XLOOKUP(B24,InstallDate!$H$2:$H$389,InstallDate!$BE$2:$BE$389)</f>
        <v>0</v>
      </c>
      <c r="AT24">
        <f t="shared" si="1"/>
        <v>0</v>
      </c>
      <c r="AU24">
        <f t="shared" si="0"/>
        <v>0</v>
      </c>
      <c r="AV24">
        <f t="shared" si="2"/>
        <v>0</v>
      </c>
      <c r="AW24">
        <f t="shared" si="3"/>
        <v>0</v>
      </c>
      <c r="AX24">
        <f t="shared" si="4"/>
        <v>0</v>
      </c>
      <c r="AY24">
        <f t="shared" si="5"/>
        <v>1</v>
      </c>
      <c r="AZ24">
        <f t="shared" si="6"/>
        <v>1</v>
      </c>
    </row>
    <row r="25" spans="1:52" x14ac:dyDescent="0.2">
      <c r="A25">
        <v>24</v>
      </c>
      <c r="B25" t="s">
        <v>68</v>
      </c>
      <c r="C25">
        <v>0</v>
      </c>
      <c r="H25" t="s">
        <v>68</v>
      </c>
      <c r="I25" t="s">
        <v>45</v>
      </c>
      <c r="Q25" t="s">
        <v>68</v>
      </c>
      <c r="R25">
        <v>13.749104839999999</v>
      </c>
      <c r="S25">
        <v>6</v>
      </c>
      <c r="T25">
        <v>130</v>
      </c>
      <c r="V25">
        <v>0</v>
      </c>
      <c r="W25">
        <v>0</v>
      </c>
      <c r="X25" t="s">
        <v>68</v>
      </c>
      <c r="Y25">
        <v>0</v>
      </c>
      <c r="Z25">
        <v>6</v>
      </c>
      <c r="AA25">
        <v>13.75</v>
      </c>
      <c r="AB25">
        <v>130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13.749104839999999</v>
      </c>
      <c r="AR25">
        <v>0</v>
      </c>
      <c r="AS25">
        <f>_xlfn.XLOOKUP(B25,InstallDate!$H$2:$H$389,InstallDate!$BE$2:$BE$389)</f>
        <v>0</v>
      </c>
      <c r="AT25">
        <f t="shared" si="1"/>
        <v>0</v>
      </c>
      <c r="AU25">
        <f t="shared" si="0"/>
        <v>0</v>
      </c>
      <c r="AV25">
        <f t="shared" si="2"/>
        <v>0</v>
      </c>
      <c r="AW25">
        <f t="shared" si="3"/>
        <v>0</v>
      </c>
      <c r="AX25">
        <f t="shared" si="4"/>
        <v>0</v>
      </c>
      <c r="AY25">
        <f t="shared" si="5"/>
        <v>1</v>
      </c>
      <c r="AZ25">
        <f t="shared" si="6"/>
        <v>1</v>
      </c>
    </row>
    <row r="26" spans="1:52" x14ac:dyDescent="0.2">
      <c r="A26">
        <v>25</v>
      </c>
      <c r="B26" t="s">
        <v>69</v>
      </c>
      <c r="C26">
        <v>0</v>
      </c>
      <c r="H26" t="s">
        <v>69</v>
      </c>
      <c r="I26" t="s">
        <v>45</v>
      </c>
      <c r="Q26" t="s">
        <v>69</v>
      </c>
      <c r="R26">
        <v>124.5424388</v>
      </c>
      <c r="S26">
        <v>6</v>
      </c>
      <c r="T26">
        <v>130</v>
      </c>
      <c r="V26">
        <v>0</v>
      </c>
      <c r="W26">
        <v>0</v>
      </c>
      <c r="X26" t="s">
        <v>69</v>
      </c>
      <c r="Y26">
        <v>0</v>
      </c>
      <c r="Z26">
        <v>6</v>
      </c>
      <c r="AA26">
        <v>124.54</v>
      </c>
      <c r="AB26">
        <v>130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124.5424388</v>
      </c>
      <c r="AR26">
        <v>0</v>
      </c>
      <c r="AS26">
        <f>_xlfn.XLOOKUP(B26,InstallDate!$H$2:$H$389,InstallDate!$BE$2:$BE$389)</f>
        <v>0</v>
      </c>
      <c r="AT26">
        <f t="shared" si="1"/>
        <v>0</v>
      </c>
      <c r="AU26">
        <f t="shared" si="0"/>
        <v>0</v>
      </c>
      <c r="AV26">
        <f t="shared" si="2"/>
        <v>0</v>
      </c>
      <c r="AW26">
        <f t="shared" si="3"/>
        <v>0</v>
      </c>
      <c r="AX26">
        <f t="shared" si="4"/>
        <v>0</v>
      </c>
      <c r="AY26">
        <f t="shared" si="5"/>
        <v>1</v>
      </c>
      <c r="AZ26">
        <f t="shared" si="6"/>
        <v>1</v>
      </c>
    </row>
    <row r="27" spans="1:52" x14ac:dyDescent="0.2">
      <c r="A27">
        <v>26</v>
      </c>
      <c r="B27" t="s">
        <v>70</v>
      </c>
      <c r="C27">
        <v>0</v>
      </c>
      <c r="H27" t="s">
        <v>70</v>
      </c>
      <c r="I27" t="s">
        <v>45</v>
      </c>
      <c r="Q27" t="s">
        <v>70</v>
      </c>
      <c r="R27">
        <v>66.744550360000005</v>
      </c>
      <c r="S27">
        <v>6</v>
      </c>
      <c r="T27">
        <v>130</v>
      </c>
      <c r="V27">
        <v>0</v>
      </c>
      <c r="W27">
        <v>0</v>
      </c>
      <c r="X27" t="s">
        <v>70</v>
      </c>
      <c r="Y27">
        <v>0</v>
      </c>
      <c r="Z27">
        <v>6</v>
      </c>
      <c r="AA27">
        <v>66.739999999999995</v>
      </c>
      <c r="AB27">
        <v>130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66.744550360000005</v>
      </c>
      <c r="AR27">
        <v>0</v>
      </c>
      <c r="AS27">
        <f>_xlfn.XLOOKUP(B27,InstallDate!$H$2:$H$389,InstallDate!$BE$2:$BE$389)</f>
        <v>0</v>
      </c>
      <c r="AT27">
        <f t="shared" si="1"/>
        <v>0</v>
      </c>
      <c r="AU27">
        <f t="shared" si="0"/>
        <v>0</v>
      </c>
      <c r="AV27">
        <f t="shared" si="2"/>
        <v>0</v>
      </c>
      <c r="AW27">
        <f t="shared" si="3"/>
        <v>0</v>
      </c>
      <c r="AX27">
        <f t="shared" si="4"/>
        <v>0</v>
      </c>
      <c r="AY27">
        <f t="shared" si="5"/>
        <v>1</v>
      </c>
      <c r="AZ27">
        <f t="shared" si="6"/>
        <v>1</v>
      </c>
    </row>
    <row r="28" spans="1:52" x14ac:dyDescent="0.2">
      <c r="A28">
        <v>27</v>
      </c>
      <c r="B28" t="s">
        <v>71</v>
      </c>
      <c r="C28">
        <v>0</v>
      </c>
      <c r="H28" t="s">
        <v>71</v>
      </c>
      <c r="I28" t="s">
        <v>45</v>
      </c>
      <c r="Q28" t="s">
        <v>71</v>
      </c>
      <c r="R28">
        <v>47.82082484</v>
      </c>
      <c r="S28">
        <v>6</v>
      </c>
      <c r="T28">
        <v>130</v>
      </c>
      <c r="V28">
        <v>0</v>
      </c>
      <c r="W28">
        <v>0</v>
      </c>
      <c r="X28" t="s">
        <v>71</v>
      </c>
      <c r="Y28">
        <v>0</v>
      </c>
      <c r="Z28">
        <v>6</v>
      </c>
      <c r="AA28">
        <v>47.82</v>
      </c>
      <c r="AB28">
        <v>130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47.82082484</v>
      </c>
      <c r="AR28">
        <v>0</v>
      </c>
      <c r="AS28">
        <f>_xlfn.XLOOKUP(B28,InstallDate!$H$2:$H$389,InstallDate!$BE$2:$BE$389)</f>
        <v>0</v>
      </c>
      <c r="AT28">
        <f t="shared" si="1"/>
        <v>0</v>
      </c>
      <c r="AU28">
        <f t="shared" si="0"/>
        <v>0</v>
      </c>
      <c r="AV28">
        <f t="shared" si="2"/>
        <v>0</v>
      </c>
      <c r="AW28">
        <f t="shared" si="3"/>
        <v>0</v>
      </c>
      <c r="AX28">
        <f t="shared" si="4"/>
        <v>0</v>
      </c>
      <c r="AY28">
        <f t="shared" si="5"/>
        <v>1</v>
      </c>
      <c r="AZ28">
        <f t="shared" si="6"/>
        <v>1</v>
      </c>
    </row>
    <row r="29" spans="1:52" x14ac:dyDescent="0.2">
      <c r="A29">
        <v>28</v>
      </c>
      <c r="B29" t="s">
        <v>72</v>
      </c>
      <c r="C29">
        <v>0</v>
      </c>
      <c r="H29" t="s">
        <v>72</v>
      </c>
      <c r="I29" t="s">
        <v>45</v>
      </c>
      <c r="Q29" t="s">
        <v>72</v>
      </c>
      <c r="R29">
        <v>56.957837509999997</v>
      </c>
      <c r="S29">
        <v>6</v>
      </c>
      <c r="T29">
        <v>130</v>
      </c>
      <c r="V29">
        <v>0</v>
      </c>
      <c r="W29">
        <v>0</v>
      </c>
      <c r="X29" t="s">
        <v>72</v>
      </c>
      <c r="Y29">
        <v>0</v>
      </c>
      <c r="Z29">
        <v>6</v>
      </c>
      <c r="AA29">
        <v>56.96</v>
      </c>
      <c r="AB29">
        <v>130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56.957837509999997</v>
      </c>
      <c r="AR29">
        <v>0</v>
      </c>
      <c r="AS29">
        <f>_xlfn.XLOOKUP(B29,InstallDate!$H$2:$H$389,InstallDate!$BE$2:$BE$389)</f>
        <v>0</v>
      </c>
      <c r="AT29">
        <f t="shared" si="1"/>
        <v>0</v>
      </c>
      <c r="AU29">
        <f t="shared" si="0"/>
        <v>0</v>
      </c>
      <c r="AV29">
        <f t="shared" si="2"/>
        <v>0</v>
      </c>
      <c r="AW29">
        <f t="shared" si="3"/>
        <v>0</v>
      </c>
      <c r="AX29">
        <f t="shared" si="4"/>
        <v>0</v>
      </c>
      <c r="AY29">
        <f t="shared" si="5"/>
        <v>1</v>
      </c>
      <c r="AZ29">
        <f t="shared" si="6"/>
        <v>1</v>
      </c>
    </row>
    <row r="30" spans="1:52" x14ac:dyDescent="0.2">
      <c r="A30">
        <v>29</v>
      </c>
      <c r="B30" t="s">
        <v>73</v>
      </c>
      <c r="C30">
        <v>0</v>
      </c>
      <c r="H30" t="s">
        <v>73</v>
      </c>
      <c r="I30" t="s">
        <v>45</v>
      </c>
      <c r="Q30" t="s">
        <v>73</v>
      </c>
      <c r="R30">
        <v>74.229809290000006</v>
      </c>
      <c r="S30">
        <v>6</v>
      </c>
      <c r="T30">
        <v>130</v>
      </c>
      <c r="V30">
        <v>0</v>
      </c>
      <c r="W30">
        <v>0</v>
      </c>
      <c r="X30" t="s">
        <v>73</v>
      </c>
      <c r="Y30">
        <v>0</v>
      </c>
      <c r="Z30">
        <v>6</v>
      </c>
      <c r="AA30">
        <v>74.23</v>
      </c>
      <c r="AB30">
        <v>130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74.229809290000006</v>
      </c>
      <c r="AR30">
        <v>0</v>
      </c>
      <c r="AS30">
        <f>_xlfn.XLOOKUP(B30,InstallDate!$H$2:$H$389,InstallDate!$BE$2:$BE$389)</f>
        <v>0</v>
      </c>
      <c r="AT30">
        <f t="shared" si="1"/>
        <v>0</v>
      </c>
      <c r="AU30">
        <f t="shared" si="0"/>
        <v>0</v>
      </c>
      <c r="AV30">
        <f t="shared" si="2"/>
        <v>0</v>
      </c>
      <c r="AW30">
        <f t="shared" si="3"/>
        <v>0</v>
      </c>
      <c r="AX30">
        <f t="shared" si="4"/>
        <v>0</v>
      </c>
      <c r="AY30">
        <f t="shared" si="5"/>
        <v>1</v>
      </c>
      <c r="AZ30">
        <f t="shared" si="6"/>
        <v>1</v>
      </c>
    </row>
    <row r="31" spans="1:52" x14ac:dyDescent="0.2">
      <c r="A31">
        <v>30</v>
      </c>
      <c r="B31" t="s">
        <v>74</v>
      </c>
      <c r="C31">
        <v>0</v>
      </c>
      <c r="H31" t="s">
        <v>74</v>
      </c>
      <c r="I31" t="s">
        <v>45</v>
      </c>
      <c r="Q31" t="s">
        <v>74</v>
      </c>
      <c r="R31">
        <v>69.644971569999996</v>
      </c>
      <c r="S31">
        <v>6</v>
      </c>
      <c r="T31">
        <v>130</v>
      </c>
      <c r="V31">
        <v>0</v>
      </c>
      <c r="W31">
        <v>0</v>
      </c>
      <c r="X31" t="s">
        <v>74</v>
      </c>
      <c r="Y31">
        <v>0</v>
      </c>
      <c r="Z31">
        <v>6</v>
      </c>
      <c r="AA31">
        <v>69.64</v>
      </c>
      <c r="AB31">
        <v>130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69.644971569999996</v>
      </c>
      <c r="AR31">
        <v>0</v>
      </c>
      <c r="AS31">
        <f>_xlfn.XLOOKUP(B31,InstallDate!$H$2:$H$389,InstallDate!$BE$2:$BE$389)</f>
        <v>0</v>
      </c>
      <c r="AT31">
        <f t="shared" si="1"/>
        <v>0</v>
      </c>
      <c r="AU31">
        <f t="shared" si="0"/>
        <v>0</v>
      </c>
      <c r="AV31">
        <f t="shared" si="2"/>
        <v>0</v>
      </c>
      <c r="AW31">
        <f t="shared" si="3"/>
        <v>0</v>
      </c>
      <c r="AX31">
        <f t="shared" si="4"/>
        <v>0</v>
      </c>
      <c r="AY31">
        <f t="shared" si="5"/>
        <v>1</v>
      </c>
      <c r="AZ31">
        <f t="shared" si="6"/>
        <v>1</v>
      </c>
    </row>
    <row r="32" spans="1:52" x14ac:dyDescent="0.2">
      <c r="A32">
        <v>31</v>
      </c>
      <c r="B32" t="s">
        <v>75</v>
      </c>
      <c r="C32">
        <v>0</v>
      </c>
      <c r="H32" t="s">
        <v>75</v>
      </c>
      <c r="I32" t="s">
        <v>45</v>
      </c>
      <c r="Q32" t="s">
        <v>75</v>
      </c>
      <c r="R32">
        <v>63.293763910000003</v>
      </c>
      <c r="S32">
        <v>6</v>
      </c>
      <c r="T32">
        <v>130</v>
      </c>
      <c r="V32">
        <v>0</v>
      </c>
      <c r="W32">
        <v>0</v>
      </c>
      <c r="X32" t="s">
        <v>75</v>
      </c>
      <c r="Y32">
        <v>0</v>
      </c>
      <c r="Z32">
        <v>6</v>
      </c>
      <c r="AA32">
        <v>63.29</v>
      </c>
      <c r="AB32">
        <v>130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63.293763910000003</v>
      </c>
      <c r="AR32">
        <v>0</v>
      </c>
      <c r="AS32">
        <f>_xlfn.XLOOKUP(B32,InstallDate!$H$2:$H$389,InstallDate!$BE$2:$BE$389)</f>
        <v>0</v>
      </c>
      <c r="AT32">
        <f t="shared" si="1"/>
        <v>0</v>
      </c>
      <c r="AU32">
        <f t="shared" si="0"/>
        <v>0</v>
      </c>
      <c r="AV32">
        <f t="shared" si="2"/>
        <v>0</v>
      </c>
      <c r="AW32">
        <f t="shared" si="3"/>
        <v>0</v>
      </c>
      <c r="AX32">
        <f t="shared" si="4"/>
        <v>0</v>
      </c>
      <c r="AY32">
        <f t="shared" si="5"/>
        <v>1</v>
      </c>
      <c r="AZ32">
        <f t="shared" si="6"/>
        <v>1</v>
      </c>
    </row>
    <row r="33" spans="1:52" x14ac:dyDescent="0.2">
      <c r="A33">
        <v>32</v>
      </c>
      <c r="B33" t="s">
        <v>76</v>
      </c>
      <c r="C33">
        <v>0</v>
      </c>
      <c r="H33" t="s">
        <v>76</v>
      </c>
      <c r="I33" t="s">
        <v>45</v>
      </c>
      <c r="Q33" t="s">
        <v>76</v>
      </c>
      <c r="R33">
        <v>20.320687540000002</v>
      </c>
      <c r="S33">
        <v>6</v>
      </c>
      <c r="T33">
        <v>130</v>
      </c>
      <c r="V33">
        <v>0</v>
      </c>
      <c r="W33">
        <v>0</v>
      </c>
      <c r="X33" t="s">
        <v>76</v>
      </c>
      <c r="Y33">
        <v>0</v>
      </c>
      <c r="Z33">
        <v>6</v>
      </c>
      <c r="AA33">
        <v>20.32</v>
      </c>
      <c r="AB33">
        <v>130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20.320687540000002</v>
      </c>
      <c r="AR33">
        <v>0</v>
      </c>
      <c r="AS33">
        <f>_xlfn.XLOOKUP(B33,InstallDate!$H$2:$H$389,InstallDate!$BE$2:$BE$389)</f>
        <v>0</v>
      </c>
      <c r="AT33">
        <f t="shared" si="1"/>
        <v>0</v>
      </c>
      <c r="AU33">
        <f t="shared" si="0"/>
        <v>0</v>
      </c>
      <c r="AV33">
        <f t="shared" si="2"/>
        <v>0</v>
      </c>
      <c r="AW33">
        <f t="shared" si="3"/>
        <v>0</v>
      </c>
      <c r="AX33">
        <f t="shared" si="4"/>
        <v>0</v>
      </c>
      <c r="AY33">
        <f t="shared" si="5"/>
        <v>1</v>
      </c>
      <c r="AZ33">
        <f t="shared" si="6"/>
        <v>1</v>
      </c>
    </row>
    <row r="34" spans="1:52" x14ac:dyDescent="0.2">
      <c r="A34">
        <v>33</v>
      </c>
      <c r="B34" t="s">
        <v>77</v>
      </c>
      <c r="C34">
        <v>0</v>
      </c>
      <c r="H34" t="s">
        <v>77</v>
      </c>
      <c r="I34" t="s">
        <v>45</v>
      </c>
      <c r="Q34" t="s">
        <v>77</v>
      </c>
      <c r="R34">
        <v>35.022262990000002</v>
      </c>
      <c r="S34">
        <v>6</v>
      </c>
      <c r="T34">
        <v>130</v>
      </c>
      <c r="V34">
        <v>0</v>
      </c>
      <c r="W34">
        <v>0</v>
      </c>
      <c r="X34" t="s">
        <v>77</v>
      </c>
      <c r="Y34">
        <v>0</v>
      </c>
      <c r="Z34">
        <v>6</v>
      </c>
      <c r="AA34">
        <v>35.020000000000003</v>
      </c>
      <c r="AB34">
        <v>130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35.022262990000002</v>
      </c>
      <c r="AR34">
        <v>0</v>
      </c>
      <c r="AS34">
        <f>_xlfn.XLOOKUP(B34,InstallDate!$H$2:$H$389,InstallDate!$BE$2:$BE$389)</f>
        <v>0</v>
      </c>
      <c r="AT34">
        <f t="shared" si="1"/>
        <v>0</v>
      </c>
      <c r="AU34">
        <f t="shared" si="0"/>
        <v>0</v>
      </c>
      <c r="AV34">
        <f t="shared" si="2"/>
        <v>0</v>
      </c>
      <c r="AW34">
        <f t="shared" si="3"/>
        <v>0</v>
      </c>
      <c r="AX34">
        <f t="shared" si="4"/>
        <v>0</v>
      </c>
      <c r="AY34">
        <f t="shared" si="5"/>
        <v>1</v>
      </c>
      <c r="AZ34">
        <f t="shared" si="6"/>
        <v>1</v>
      </c>
    </row>
    <row r="35" spans="1:52" x14ac:dyDescent="0.2">
      <c r="A35">
        <v>34</v>
      </c>
      <c r="B35" t="s">
        <v>78</v>
      </c>
      <c r="C35">
        <v>0</v>
      </c>
      <c r="H35" t="s">
        <v>78</v>
      </c>
      <c r="I35" t="s">
        <v>45</v>
      </c>
      <c r="Q35" t="s">
        <v>78</v>
      </c>
      <c r="R35">
        <v>5.4477762739999998</v>
      </c>
      <c r="S35">
        <v>6</v>
      </c>
      <c r="T35">
        <v>130</v>
      </c>
      <c r="V35">
        <v>0</v>
      </c>
      <c r="W35">
        <v>0</v>
      </c>
      <c r="X35" t="s">
        <v>78</v>
      </c>
      <c r="Y35">
        <v>0</v>
      </c>
      <c r="Z35">
        <v>6</v>
      </c>
      <c r="AA35">
        <v>5.45</v>
      </c>
      <c r="AB35">
        <v>130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5.4477762739999998</v>
      </c>
      <c r="AR35">
        <v>0</v>
      </c>
      <c r="AS35">
        <f>_xlfn.XLOOKUP(B35,InstallDate!$H$2:$H$389,InstallDate!$BE$2:$BE$389)</f>
        <v>0</v>
      </c>
      <c r="AT35">
        <f t="shared" si="1"/>
        <v>0</v>
      </c>
      <c r="AU35">
        <f t="shared" si="0"/>
        <v>0</v>
      </c>
      <c r="AV35">
        <f t="shared" si="2"/>
        <v>0</v>
      </c>
      <c r="AW35">
        <f t="shared" si="3"/>
        <v>0</v>
      </c>
      <c r="AX35">
        <f t="shared" si="4"/>
        <v>0</v>
      </c>
      <c r="AY35">
        <f t="shared" si="5"/>
        <v>1</v>
      </c>
      <c r="AZ35">
        <f t="shared" si="6"/>
        <v>1</v>
      </c>
    </row>
    <row r="36" spans="1:52" x14ac:dyDescent="0.2">
      <c r="A36">
        <v>35</v>
      </c>
      <c r="B36" t="s">
        <v>79</v>
      </c>
      <c r="C36">
        <v>0</v>
      </c>
      <c r="H36" t="s">
        <v>79</v>
      </c>
      <c r="I36" t="s">
        <v>45</v>
      </c>
      <c r="Q36" t="s">
        <v>79</v>
      </c>
      <c r="R36">
        <v>44.955468209999999</v>
      </c>
      <c r="S36">
        <v>6</v>
      </c>
      <c r="T36">
        <v>130</v>
      </c>
      <c r="V36">
        <v>0</v>
      </c>
      <c r="W36">
        <v>0</v>
      </c>
      <c r="X36" t="s">
        <v>79</v>
      </c>
      <c r="Y36">
        <v>0</v>
      </c>
      <c r="Z36">
        <v>6</v>
      </c>
      <c r="AA36">
        <v>44.96</v>
      </c>
      <c r="AB36">
        <v>130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44.955468199999999</v>
      </c>
      <c r="AR36">
        <v>0</v>
      </c>
      <c r="AS36">
        <f>_xlfn.XLOOKUP(B36,InstallDate!$H$2:$H$389,InstallDate!$BE$2:$BE$389)</f>
        <v>0</v>
      </c>
      <c r="AT36">
        <f t="shared" si="1"/>
        <v>0</v>
      </c>
      <c r="AU36">
        <f t="shared" si="0"/>
        <v>0</v>
      </c>
      <c r="AV36">
        <f t="shared" si="2"/>
        <v>0</v>
      </c>
      <c r="AW36">
        <f t="shared" si="3"/>
        <v>0</v>
      </c>
      <c r="AX36">
        <f t="shared" si="4"/>
        <v>0</v>
      </c>
      <c r="AY36">
        <f t="shared" si="5"/>
        <v>1</v>
      </c>
      <c r="AZ36">
        <f t="shared" si="6"/>
        <v>1</v>
      </c>
    </row>
    <row r="37" spans="1:52" x14ac:dyDescent="0.2">
      <c r="A37">
        <v>36</v>
      </c>
      <c r="B37" t="s">
        <v>80</v>
      </c>
      <c r="C37">
        <v>0</v>
      </c>
      <c r="H37" t="s">
        <v>80</v>
      </c>
      <c r="I37" t="s">
        <v>45</v>
      </c>
      <c r="Q37" t="s">
        <v>80</v>
      </c>
      <c r="R37">
        <v>24.914466359999999</v>
      </c>
      <c r="S37">
        <v>6</v>
      </c>
      <c r="T37">
        <v>130</v>
      </c>
      <c r="V37">
        <v>0</v>
      </c>
      <c r="W37">
        <v>0</v>
      </c>
      <c r="X37" t="s">
        <v>80</v>
      </c>
      <c r="Y37">
        <v>0</v>
      </c>
      <c r="Z37">
        <v>6</v>
      </c>
      <c r="AA37">
        <v>24.91</v>
      </c>
      <c r="AB37">
        <v>130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24.914466359999999</v>
      </c>
      <c r="AR37">
        <v>0</v>
      </c>
      <c r="AS37">
        <f>_xlfn.XLOOKUP(B37,InstallDate!$H$2:$H$389,InstallDate!$BE$2:$BE$389)</f>
        <v>0</v>
      </c>
      <c r="AT37">
        <f t="shared" si="1"/>
        <v>0</v>
      </c>
      <c r="AU37">
        <f t="shared" si="0"/>
        <v>0</v>
      </c>
      <c r="AV37">
        <f t="shared" si="2"/>
        <v>0</v>
      </c>
      <c r="AW37">
        <f t="shared" si="3"/>
        <v>0</v>
      </c>
      <c r="AX37">
        <f t="shared" si="4"/>
        <v>0</v>
      </c>
      <c r="AY37">
        <f t="shared" si="5"/>
        <v>1</v>
      </c>
      <c r="AZ37">
        <f t="shared" si="6"/>
        <v>1</v>
      </c>
    </row>
    <row r="38" spans="1:52" x14ac:dyDescent="0.2">
      <c r="A38">
        <v>37</v>
      </c>
      <c r="B38" t="s">
        <v>81</v>
      </c>
      <c r="C38">
        <v>0</v>
      </c>
      <c r="H38" t="s">
        <v>81</v>
      </c>
      <c r="I38" t="s">
        <v>45</v>
      </c>
      <c r="Q38" t="s">
        <v>81</v>
      </c>
      <c r="R38">
        <v>42.947179009999999</v>
      </c>
      <c r="S38">
        <v>6</v>
      </c>
      <c r="T38">
        <v>130</v>
      </c>
      <c r="V38">
        <v>0</v>
      </c>
      <c r="W38">
        <v>0</v>
      </c>
      <c r="X38" t="s">
        <v>81</v>
      </c>
      <c r="Y38">
        <v>0</v>
      </c>
      <c r="Z38">
        <v>6</v>
      </c>
      <c r="AA38">
        <v>42.95</v>
      </c>
      <c r="AB38">
        <v>130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42.947179009999999</v>
      </c>
      <c r="AR38">
        <v>0</v>
      </c>
      <c r="AS38">
        <f>_xlfn.XLOOKUP(B38,InstallDate!$H$2:$H$389,InstallDate!$BE$2:$BE$389)</f>
        <v>0</v>
      </c>
      <c r="AT38">
        <f t="shared" si="1"/>
        <v>0</v>
      </c>
      <c r="AU38">
        <f t="shared" si="0"/>
        <v>0</v>
      </c>
      <c r="AV38">
        <f t="shared" si="2"/>
        <v>0</v>
      </c>
      <c r="AW38">
        <f t="shared" si="3"/>
        <v>0</v>
      </c>
      <c r="AX38">
        <f t="shared" si="4"/>
        <v>0</v>
      </c>
      <c r="AY38">
        <f t="shared" si="5"/>
        <v>1</v>
      </c>
      <c r="AZ38">
        <f t="shared" si="6"/>
        <v>1</v>
      </c>
    </row>
    <row r="39" spans="1:52" x14ac:dyDescent="0.2">
      <c r="A39">
        <v>38</v>
      </c>
      <c r="B39" t="s">
        <v>82</v>
      </c>
      <c r="C39">
        <v>0</v>
      </c>
      <c r="H39" t="s">
        <v>82</v>
      </c>
      <c r="I39" t="s">
        <v>45</v>
      </c>
      <c r="Q39" t="s">
        <v>82</v>
      </c>
      <c r="R39">
        <v>27.094653829999999</v>
      </c>
      <c r="S39">
        <v>6</v>
      </c>
      <c r="T39">
        <v>130</v>
      </c>
      <c r="V39">
        <v>0</v>
      </c>
      <c r="W39">
        <v>0</v>
      </c>
      <c r="X39" t="s">
        <v>82</v>
      </c>
      <c r="Y39">
        <v>0</v>
      </c>
      <c r="Z39">
        <v>6</v>
      </c>
      <c r="AA39">
        <v>27.09</v>
      </c>
      <c r="AB39">
        <v>130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27.094653829999999</v>
      </c>
      <c r="AR39">
        <v>1</v>
      </c>
      <c r="AS39">
        <f>_xlfn.XLOOKUP(B39,InstallDate!$H$2:$H$389,InstallDate!$BE$2:$BE$389)</f>
        <v>0</v>
      </c>
      <c r="AT39">
        <f t="shared" si="1"/>
        <v>1</v>
      </c>
      <c r="AU39">
        <f t="shared" si="0"/>
        <v>0</v>
      </c>
      <c r="AV39">
        <f t="shared" si="2"/>
        <v>0</v>
      </c>
      <c r="AW39">
        <f t="shared" si="3"/>
        <v>0</v>
      </c>
      <c r="AX39">
        <f t="shared" si="4"/>
        <v>0</v>
      </c>
      <c r="AY39">
        <f t="shared" si="5"/>
        <v>1</v>
      </c>
      <c r="AZ39">
        <f t="shared" si="6"/>
        <v>1</v>
      </c>
    </row>
    <row r="40" spans="1:52" x14ac:dyDescent="0.2">
      <c r="A40">
        <v>39</v>
      </c>
      <c r="B40" t="s">
        <v>83</v>
      </c>
      <c r="C40">
        <v>0</v>
      </c>
      <c r="H40" t="s">
        <v>83</v>
      </c>
      <c r="I40" t="s">
        <v>45</v>
      </c>
      <c r="Q40" t="s">
        <v>83</v>
      </c>
      <c r="R40">
        <v>46.751553950000002</v>
      </c>
      <c r="S40">
        <v>6</v>
      </c>
      <c r="T40">
        <v>130</v>
      </c>
      <c r="V40">
        <v>0</v>
      </c>
      <c r="W40">
        <v>0</v>
      </c>
      <c r="X40" t="s">
        <v>83</v>
      </c>
      <c r="Y40">
        <v>0</v>
      </c>
      <c r="Z40">
        <v>6</v>
      </c>
      <c r="AA40">
        <v>46.75</v>
      </c>
      <c r="AB40">
        <v>130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46.751553950000002</v>
      </c>
      <c r="AR40">
        <v>0</v>
      </c>
      <c r="AS40">
        <f>_xlfn.XLOOKUP(B40,InstallDate!$H$2:$H$389,InstallDate!$BE$2:$BE$389)</f>
        <v>0</v>
      </c>
      <c r="AT40">
        <f t="shared" si="1"/>
        <v>0</v>
      </c>
      <c r="AU40">
        <f t="shared" si="0"/>
        <v>0</v>
      </c>
      <c r="AV40">
        <f t="shared" si="2"/>
        <v>0</v>
      </c>
      <c r="AW40">
        <f t="shared" si="3"/>
        <v>0</v>
      </c>
      <c r="AX40">
        <f t="shared" si="4"/>
        <v>0</v>
      </c>
      <c r="AY40">
        <f t="shared" si="5"/>
        <v>1</v>
      </c>
      <c r="AZ40">
        <f t="shared" si="6"/>
        <v>1</v>
      </c>
    </row>
    <row r="41" spans="1:52" x14ac:dyDescent="0.2">
      <c r="A41">
        <v>40</v>
      </c>
      <c r="B41" t="s">
        <v>84</v>
      </c>
      <c r="C41">
        <v>0</v>
      </c>
      <c r="H41" t="s">
        <v>84</v>
      </c>
      <c r="I41" t="s">
        <v>45</v>
      </c>
      <c r="Q41" t="s">
        <v>84</v>
      </c>
      <c r="R41">
        <v>12.93492125</v>
      </c>
      <c r="S41">
        <v>6</v>
      </c>
      <c r="T41">
        <v>130</v>
      </c>
      <c r="V41">
        <v>0</v>
      </c>
      <c r="W41">
        <v>0</v>
      </c>
      <c r="X41" t="s">
        <v>84</v>
      </c>
      <c r="Y41">
        <v>0</v>
      </c>
      <c r="Z41">
        <v>6</v>
      </c>
      <c r="AA41">
        <v>12.93</v>
      </c>
      <c r="AB41">
        <v>130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12.93492125</v>
      </c>
      <c r="AR41">
        <v>0</v>
      </c>
      <c r="AS41">
        <f>_xlfn.XLOOKUP(B41,InstallDate!$H$2:$H$389,InstallDate!$BE$2:$BE$389)</f>
        <v>0</v>
      </c>
      <c r="AT41">
        <f t="shared" si="1"/>
        <v>0</v>
      </c>
      <c r="AU41">
        <f t="shared" si="0"/>
        <v>0</v>
      </c>
      <c r="AV41">
        <f t="shared" si="2"/>
        <v>0</v>
      </c>
      <c r="AW41">
        <f t="shared" si="3"/>
        <v>0</v>
      </c>
      <c r="AX41">
        <f t="shared" si="4"/>
        <v>0</v>
      </c>
      <c r="AY41">
        <f t="shared" si="5"/>
        <v>1</v>
      </c>
      <c r="AZ41">
        <f t="shared" si="6"/>
        <v>1</v>
      </c>
    </row>
    <row r="42" spans="1:52" x14ac:dyDescent="0.2">
      <c r="A42">
        <v>41</v>
      </c>
      <c r="B42" t="s">
        <v>85</v>
      </c>
      <c r="C42">
        <v>0</v>
      </c>
      <c r="H42" t="s">
        <v>85</v>
      </c>
      <c r="I42" t="s">
        <v>45</v>
      </c>
      <c r="Q42" t="s">
        <v>85</v>
      </c>
      <c r="R42">
        <v>32.960285550000002</v>
      </c>
      <c r="S42">
        <v>6</v>
      </c>
      <c r="T42">
        <v>130</v>
      </c>
      <c r="V42">
        <v>0</v>
      </c>
      <c r="W42">
        <v>0</v>
      </c>
      <c r="X42" t="s">
        <v>85</v>
      </c>
      <c r="Y42">
        <v>0</v>
      </c>
      <c r="Z42">
        <v>6</v>
      </c>
      <c r="AA42">
        <v>32.96</v>
      </c>
      <c r="AB42">
        <v>130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32.960285550000002</v>
      </c>
      <c r="AR42">
        <v>0</v>
      </c>
      <c r="AS42">
        <f>_xlfn.XLOOKUP(B42,InstallDate!$H$2:$H$389,InstallDate!$BE$2:$BE$389)</f>
        <v>0</v>
      </c>
      <c r="AT42">
        <f t="shared" si="1"/>
        <v>0</v>
      </c>
      <c r="AU42">
        <f t="shared" si="0"/>
        <v>0</v>
      </c>
      <c r="AV42">
        <f t="shared" si="2"/>
        <v>0</v>
      </c>
      <c r="AW42">
        <f t="shared" si="3"/>
        <v>0</v>
      </c>
      <c r="AX42">
        <f t="shared" si="4"/>
        <v>0</v>
      </c>
      <c r="AY42">
        <f t="shared" si="5"/>
        <v>1</v>
      </c>
      <c r="AZ42">
        <f t="shared" si="6"/>
        <v>1</v>
      </c>
    </row>
    <row r="43" spans="1:52" x14ac:dyDescent="0.2">
      <c r="A43">
        <v>42</v>
      </c>
      <c r="B43" t="s">
        <v>86</v>
      </c>
      <c r="C43">
        <v>0</v>
      </c>
      <c r="H43" t="s">
        <v>86</v>
      </c>
      <c r="I43" t="s">
        <v>45</v>
      </c>
      <c r="Q43" t="s">
        <v>86</v>
      </c>
      <c r="R43">
        <v>25.025454880000002</v>
      </c>
      <c r="S43">
        <v>6</v>
      </c>
      <c r="T43">
        <v>130</v>
      </c>
      <c r="V43">
        <v>0</v>
      </c>
      <c r="W43">
        <v>0</v>
      </c>
      <c r="X43" t="s">
        <v>86</v>
      </c>
      <c r="Y43">
        <v>0</v>
      </c>
      <c r="Z43">
        <v>6</v>
      </c>
      <c r="AA43">
        <v>25.03</v>
      </c>
      <c r="AB43">
        <v>130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25.025454880000002</v>
      </c>
      <c r="AR43">
        <v>0</v>
      </c>
      <c r="AS43">
        <f>_xlfn.XLOOKUP(B43,InstallDate!$H$2:$H$389,InstallDate!$BE$2:$BE$389)</f>
        <v>0</v>
      </c>
      <c r="AT43">
        <f t="shared" si="1"/>
        <v>0</v>
      </c>
      <c r="AU43">
        <f t="shared" si="0"/>
        <v>0</v>
      </c>
      <c r="AV43">
        <f t="shared" si="2"/>
        <v>0</v>
      </c>
      <c r="AW43">
        <f t="shared" si="3"/>
        <v>0</v>
      </c>
      <c r="AX43">
        <f t="shared" si="4"/>
        <v>0</v>
      </c>
      <c r="AY43">
        <f t="shared" si="5"/>
        <v>1</v>
      </c>
      <c r="AZ43">
        <f t="shared" si="6"/>
        <v>1</v>
      </c>
    </row>
    <row r="44" spans="1:52" x14ac:dyDescent="0.2">
      <c r="A44">
        <v>43</v>
      </c>
      <c r="B44" t="s">
        <v>87</v>
      </c>
      <c r="C44">
        <v>0</v>
      </c>
      <c r="H44" t="s">
        <v>87</v>
      </c>
      <c r="I44" t="s">
        <v>45</v>
      </c>
      <c r="Q44" t="s">
        <v>87</v>
      </c>
      <c r="R44">
        <v>0.86057297899999996</v>
      </c>
      <c r="S44">
        <v>6</v>
      </c>
      <c r="T44">
        <v>130</v>
      </c>
      <c r="V44">
        <v>0</v>
      </c>
      <c r="W44">
        <v>0</v>
      </c>
      <c r="X44" t="s">
        <v>87</v>
      </c>
      <c r="Y44">
        <v>0</v>
      </c>
      <c r="Z44">
        <v>6</v>
      </c>
      <c r="AA44">
        <v>0.86</v>
      </c>
      <c r="AB44">
        <v>130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0.86057297899999996</v>
      </c>
      <c r="AR44">
        <v>0</v>
      </c>
      <c r="AS44">
        <f>_xlfn.XLOOKUP(B44,InstallDate!$H$2:$H$389,InstallDate!$BE$2:$BE$389)</f>
        <v>0</v>
      </c>
      <c r="AT44">
        <f t="shared" si="1"/>
        <v>0</v>
      </c>
      <c r="AU44">
        <f t="shared" si="0"/>
        <v>0</v>
      </c>
      <c r="AV44">
        <f t="shared" si="2"/>
        <v>0</v>
      </c>
      <c r="AW44">
        <f t="shared" si="3"/>
        <v>0</v>
      </c>
      <c r="AX44">
        <f t="shared" si="4"/>
        <v>0</v>
      </c>
      <c r="AY44">
        <f t="shared" si="5"/>
        <v>1</v>
      </c>
      <c r="AZ44">
        <f t="shared" si="6"/>
        <v>1</v>
      </c>
    </row>
    <row r="45" spans="1:52" x14ac:dyDescent="0.2">
      <c r="A45">
        <v>44</v>
      </c>
      <c r="B45" t="s">
        <v>88</v>
      </c>
      <c r="C45">
        <v>0</v>
      </c>
      <c r="H45" t="s">
        <v>88</v>
      </c>
      <c r="I45" t="s">
        <v>45</v>
      </c>
      <c r="Q45" t="s">
        <v>88</v>
      </c>
      <c r="R45">
        <v>1.8717631859999999</v>
      </c>
      <c r="S45">
        <v>6</v>
      </c>
      <c r="T45">
        <v>130</v>
      </c>
      <c r="V45">
        <v>0</v>
      </c>
      <c r="W45">
        <v>0</v>
      </c>
      <c r="X45" t="s">
        <v>88</v>
      </c>
      <c r="Y45">
        <v>0</v>
      </c>
      <c r="Z45">
        <v>6</v>
      </c>
      <c r="AA45">
        <v>1.87</v>
      </c>
      <c r="AB45">
        <v>130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1.8717631859999999</v>
      </c>
      <c r="AR45">
        <v>0</v>
      </c>
      <c r="AS45">
        <f>_xlfn.XLOOKUP(B45,InstallDate!$H$2:$H$389,InstallDate!$BE$2:$BE$389)</f>
        <v>0</v>
      </c>
      <c r="AT45">
        <f t="shared" si="1"/>
        <v>0</v>
      </c>
      <c r="AU45">
        <f t="shared" si="0"/>
        <v>0</v>
      </c>
      <c r="AV45">
        <f t="shared" si="2"/>
        <v>0</v>
      </c>
      <c r="AW45">
        <f t="shared" si="3"/>
        <v>0</v>
      </c>
      <c r="AX45">
        <f t="shared" si="4"/>
        <v>0</v>
      </c>
      <c r="AY45">
        <f t="shared" si="5"/>
        <v>1</v>
      </c>
      <c r="AZ45">
        <f t="shared" si="6"/>
        <v>1</v>
      </c>
    </row>
    <row r="46" spans="1:52" x14ac:dyDescent="0.2">
      <c r="A46">
        <v>45</v>
      </c>
      <c r="B46" t="s">
        <v>89</v>
      </c>
      <c r="C46">
        <v>0</v>
      </c>
      <c r="H46" t="s">
        <v>89</v>
      </c>
      <c r="I46" t="s">
        <v>45</v>
      </c>
      <c r="Q46" t="s">
        <v>89</v>
      </c>
      <c r="R46">
        <v>13.54247174</v>
      </c>
      <c r="S46">
        <v>6</v>
      </c>
      <c r="T46">
        <v>130</v>
      </c>
      <c r="V46">
        <v>0</v>
      </c>
      <c r="W46">
        <v>0</v>
      </c>
      <c r="X46" t="s">
        <v>89</v>
      </c>
      <c r="Y46">
        <v>0</v>
      </c>
      <c r="Z46">
        <v>6</v>
      </c>
      <c r="AA46">
        <v>13.54</v>
      </c>
      <c r="AB46">
        <v>130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13.54247174</v>
      </c>
      <c r="AR46">
        <v>0</v>
      </c>
      <c r="AS46">
        <f>_xlfn.XLOOKUP(B46,InstallDate!$H$2:$H$389,InstallDate!$BE$2:$BE$389)</f>
        <v>0</v>
      </c>
      <c r="AT46">
        <f t="shared" si="1"/>
        <v>0</v>
      </c>
      <c r="AU46">
        <f t="shared" si="0"/>
        <v>0</v>
      </c>
      <c r="AV46">
        <f t="shared" si="2"/>
        <v>0</v>
      </c>
      <c r="AW46">
        <f t="shared" si="3"/>
        <v>0</v>
      </c>
      <c r="AX46">
        <f t="shared" si="4"/>
        <v>0</v>
      </c>
      <c r="AY46">
        <f t="shared" si="5"/>
        <v>1</v>
      </c>
      <c r="AZ46">
        <f t="shared" si="6"/>
        <v>1</v>
      </c>
    </row>
    <row r="47" spans="1:52" x14ac:dyDescent="0.2">
      <c r="A47">
        <v>46</v>
      </c>
      <c r="B47" t="s">
        <v>90</v>
      </c>
      <c r="C47">
        <v>0</v>
      </c>
      <c r="H47" t="s">
        <v>90</v>
      </c>
      <c r="I47" t="s">
        <v>45</v>
      </c>
      <c r="Q47" t="s">
        <v>90</v>
      </c>
      <c r="R47">
        <v>0.83515927999999995</v>
      </c>
      <c r="S47">
        <v>6</v>
      </c>
      <c r="T47">
        <v>130</v>
      </c>
      <c r="V47">
        <v>0</v>
      </c>
      <c r="W47">
        <v>0</v>
      </c>
      <c r="X47" t="s">
        <v>90</v>
      </c>
      <c r="Y47">
        <v>0</v>
      </c>
      <c r="Z47">
        <v>6</v>
      </c>
      <c r="AA47">
        <v>0.84</v>
      </c>
      <c r="AB47">
        <v>130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0.83515927999999995</v>
      </c>
      <c r="AR47">
        <v>0</v>
      </c>
      <c r="AS47">
        <f>_xlfn.XLOOKUP(B47,InstallDate!$H$2:$H$389,InstallDate!$BE$2:$BE$389)</f>
        <v>0</v>
      </c>
      <c r="AT47">
        <f t="shared" si="1"/>
        <v>0</v>
      </c>
      <c r="AU47">
        <f t="shared" si="0"/>
        <v>0</v>
      </c>
      <c r="AV47">
        <f t="shared" si="2"/>
        <v>0</v>
      </c>
      <c r="AW47">
        <f t="shared" si="3"/>
        <v>0</v>
      </c>
      <c r="AX47">
        <f t="shared" si="4"/>
        <v>0</v>
      </c>
      <c r="AY47">
        <f t="shared" si="5"/>
        <v>1</v>
      </c>
      <c r="AZ47">
        <f t="shared" si="6"/>
        <v>1</v>
      </c>
    </row>
    <row r="48" spans="1:52" x14ac:dyDescent="0.2">
      <c r="A48">
        <v>47</v>
      </c>
      <c r="B48" t="s">
        <v>91</v>
      </c>
      <c r="C48">
        <v>0</v>
      </c>
      <c r="H48" t="s">
        <v>91</v>
      </c>
      <c r="I48" t="s">
        <v>45</v>
      </c>
      <c r="Q48" t="s">
        <v>91</v>
      </c>
      <c r="R48">
        <v>5.6539048249999997</v>
      </c>
      <c r="S48">
        <v>6</v>
      </c>
      <c r="T48">
        <v>130</v>
      </c>
      <c r="V48">
        <v>0</v>
      </c>
      <c r="W48">
        <v>0</v>
      </c>
      <c r="X48" t="s">
        <v>91</v>
      </c>
      <c r="Y48">
        <v>0</v>
      </c>
      <c r="Z48">
        <v>6</v>
      </c>
      <c r="AA48">
        <v>5.65</v>
      </c>
      <c r="AB48">
        <v>130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5.6539048249999997</v>
      </c>
      <c r="AR48">
        <v>1</v>
      </c>
      <c r="AS48">
        <f>_xlfn.XLOOKUP(B48,InstallDate!$H$2:$H$389,InstallDate!$BE$2:$BE$389)</f>
        <v>0</v>
      </c>
      <c r="AT48">
        <f t="shared" si="1"/>
        <v>1</v>
      </c>
      <c r="AU48">
        <f t="shared" si="0"/>
        <v>0</v>
      </c>
      <c r="AV48">
        <f t="shared" si="2"/>
        <v>0</v>
      </c>
      <c r="AW48">
        <f t="shared" si="3"/>
        <v>0</v>
      </c>
      <c r="AX48">
        <f t="shared" si="4"/>
        <v>0</v>
      </c>
      <c r="AY48">
        <f t="shared" si="5"/>
        <v>1</v>
      </c>
      <c r="AZ48">
        <f t="shared" si="6"/>
        <v>1</v>
      </c>
    </row>
    <row r="49" spans="1:52" x14ac:dyDescent="0.2">
      <c r="A49">
        <v>48</v>
      </c>
      <c r="B49" t="s">
        <v>92</v>
      </c>
      <c r="C49">
        <v>0</v>
      </c>
      <c r="H49" t="s">
        <v>92</v>
      </c>
      <c r="I49" t="s">
        <v>45</v>
      </c>
      <c r="Q49" t="s">
        <v>92</v>
      </c>
      <c r="R49">
        <v>6.0621357729999996</v>
      </c>
      <c r="S49">
        <v>6</v>
      </c>
      <c r="T49">
        <v>130</v>
      </c>
      <c r="V49">
        <v>0</v>
      </c>
      <c r="W49">
        <v>0</v>
      </c>
      <c r="X49" t="s">
        <v>92</v>
      </c>
      <c r="Y49">
        <v>0</v>
      </c>
      <c r="Z49">
        <v>6</v>
      </c>
      <c r="AA49">
        <v>6.06</v>
      </c>
      <c r="AB49">
        <v>130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6.0621357729999996</v>
      </c>
      <c r="AR49">
        <v>0</v>
      </c>
      <c r="AS49">
        <f>_xlfn.XLOOKUP(B49,InstallDate!$H$2:$H$389,InstallDate!$BE$2:$BE$389)</f>
        <v>1</v>
      </c>
      <c r="AT49">
        <f t="shared" si="1"/>
        <v>1</v>
      </c>
      <c r="AU49">
        <f t="shared" si="0"/>
        <v>0</v>
      </c>
      <c r="AV49">
        <f t="shared" si="2"/>
        <v>0</v>
      </c>
      <c r="AW49">
        <f t="shared" si="3"/>
        <v>0</v>
      </c>
      <c r="AX49">
        <f t="shared" si="4"/>
        <v>0</v>
      </c>
      <c r="AY49">
        <f t="shared" si="5"/>
        <v>1</v>
      </c>
      <c r="AZ49">
        <f t="shared" si="6"/>
        <v>2</v>
      </c>
    </row>
    <row r="50" spans="1:52" x14ac:dyDescent="0.2">
      <c r="A50">
        <v>49</v>
      </c>
      <c r="B50" t="s">
        <v>93</v>
      </c>
      <c r="C50">
        <v>0</v>
      </c>
      <c r="H50" t="s">
        <v>93</v>
      </c>
      <c r="I50" t="s">
        <v>45</v>
      </c>
      <c r="Q50" t="s">
        <v>93</v>
      </c>
      <c r="R50">
        <v>30.059090510000001</v>
      </c>
      <c r="S50">
        <v>6</v>
      </c>
      <c r="T50">
        <v>130</v>
      </c>
      <c r="V50">
        <v>0</v>
      </c>
      <c r="W50">
        <v>0</v>
      </c>
      <c r="X50" t="s">
        <v>93</v>
      </c>
      <c r="Y50">
        <v>0</v>
      </c>
      <c r="Z50">
        <v>6</v>
      </c>
      <c r="AA50">
        <v>30.06</v>
      </c>
      <c r="AB50">
        <v>130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30.059090510000001</v>
      </c>
      <c r="AR50">
        <v>0</v>
      </c>
      <c r="AS50">
        <f>_xlfn.XLOOKUP(B50,InstallDate!$H$2:$H$389,InstallDate!$BE$2:$BE$389)</f>
        <v>0</v>
      </c>
      <c r="AT50">
        <f t="shared" si="1"/>
        <v>0</v>
      </c>
      <c r="AU50">
        <f t="shared" si="0"/>
        <v>0</v>
      </c>
      <c r="AV50">
        <f t="shared" si="2"/>
        <v>0</v>
      </c>
      <c r="AW50">
        <f t="shared" si="3"/>
        <v>0</v>
      </c>
      <c r="AX50">
        <f t="shared" si="4"/>
        <v>0</v>
      </c>
      <c r="AY50">
        <f t="shared" si="5"/>
        <v>1</v>
      </c>
      <c r="AZ50">
        <f t="shared" si="6"/>
        <v>1</v>
      </c>
    </row>
    <row r="51" spans="1:52" x14ac:dyDescent="0.2">
      <c r="A51">
        <v>50</v>
      </c>
      <c r="B51" t="s">
        <v>94</v>
      </c>
      <c r="C51">
        <v>0</v>
      </c>
      <c r="H51" t="s">
        <v>94</v>
      </c>
      <c r="I51" t="s">
        <v>45</v>
      </c>
      <c r="Q51" t="s">
        <v>94</v>
      </c>
      <c r="R51">
        <v>13.70096829</v>
      </c>
      <c r="S51">
        <v>6</v>
      </c>
      <c r="T51">
        <v>130</v>
      </c>
      <c r="V51">
        <v>0</v>
      </c>
      <c r="W51">
        <v>0</v>
      </c>
      <c r="X51" t="s">
        <v>94</v>
      </c>
      <c r="Y51">
        <v>0</v>
      </c>
      <c r="Z51">
        <v>6</v>
      </c>
      <c r="AA51">
        <v>13.7</v>
      </c>
      <c r="AB51">
        <v>130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13.70096829</v>
      </c>
      <c r="AR51">
        <v>0</v>
      </c>
      <c r="AS51">
        <f>_xlfn.XLOOKUP(B51,InstallDate!$H$2:$H$389,InstallDate!$BE$2:$BE$389)</f>
        <v>1</v>
      </c>
      <c r="AT51">
        <f t="shared" si="1"/>
        <v>1</v>
      </c>
      <c r="AU51">
        <f t="shared" si="0"/>
        <v>0</v>
      </c>
      <c r="AV51">
        <f t="shared" si="2"/>
        <v>0</v>
      </c>
      <c r="AW51">
        <f t="shared" si="3"/>
        <v>0</v>
      </c>
      <c r="AX51">
        <f t="shared" si="4"/>
        <v>0</v>
      </c>
      <c r="AY51">
        <f t="shared" si="5"/>
        <v>1</v>
      </c>
      <c r="AZ51">
        <f t="shared" si="6"/>
        <v>2</v>
      </c>
    </row>
    <row r="52" spans="1:52" x14ac:dyDescent="0.2">
      <c r="A52">
        <v>51</v>
      </c>
      <c r="B52" t="s">
        <v>95</v>
      </c>
      <c r="C52">
        <v>0</v>
      </c>
      <c r="H52" t="s">
        <v>95</v>
      </c>
      <c r="I52" t="s">
        <v>45</v>
      </c>
      <c r="Q52" t="s">
        <v>95</v>
      </c>
      <c r="R52">
        <v>3.2730925320000002</v>
      </c>
      <c r="S52">
        <v>6</v>
      </c>
      <c r="T52">
        <v>130</v>
      </c>
      <c r="V52">
        <v>0</v>
      </c>
      <c r="W52">
        <v>0</v>
      </c>
      <c r="X52" t="s">
        <v>95</v>
      </c>
      <c r="Y52">
        <v>0</v>
      </c>
      <c r="Z52">
        <v>6</v>
      </c>
      <c r="AA52">
        <v>3.27</v>
      </c>
      <c r="AB52">
        <v>130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3.2730925320000002</v>
      </c>
      <c r="AR52">
        <v>0</v>
      </c>
      <c r="AS52">
        <f>_xlfn.XLOOKUP(B52,InstallDate!$H$2:$H$389,InstallDate!$BE$2:$BE$389)</f>
        <v>1</v>
      </c>
      <c r="AT52">
        <f t="shared" si="1"/>
        <v>1</v>
      </c>
      <c r="AU52">
        <f t="shared" si="0"/>
        <v>0</v>
      </c>
      <c r="AV52">
        <f t="shared" si="2"/>
        <v>0</v>
      </c>
      <c r="AW52">
        <f t="shared" si="3"/>
        <v>0</v>
      </c>
      <c r="AX52">
        <f t="shared" si="4"/>
        <v>0</v>
      </c>
      <c r="AY52">
        <f t="shared" si="5"/>
        <v>1</v>
      </c>
      <c r="AZ52">
        <f t="shared" si="6"/>
        <v>2</v>
      </c>
    </row>
    <row r="53" spans="1:52" x14ac:dyDescent="0.2">
      <c r="A53">
        <v>52</v>
      </c>
      <c r="B53" t="s">
        <v>96</v>
      </c>
      <c r="C53">
        <v>0</v>
      </c>
      <c r="H53" t="s">
        <v>96</v>
      </c>
      <c r="I53" t="s">
        <v>45</v>
      </c>
      <c r="Q53" t="s">
        <v>96</v>
      </c>
      <c r="R53">
        <v>20.36281224</v>
      </c>
      <c r="S53">
        <v>6</v>
      </c>
      <c r="T53">
        <v>130</v>
      </c>
      <c r="V53">
        <v>0</v>
      </c>
      <c r="W53">
        <v>0</v>
      </c>
      <c r="X53" t="s">
        <v>96</v>
      </c>
      <c r="Y53">
        <v>0</v>
      </c>
      <c r="Z53">
        <v>6</v>
      </c>
      <c r="AA53">
        <v>20.36</v>
      </c>
      <c r="AB53">
        <v>130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20.36281224</v>
      </c>
      <c r="AR53">
        <v>0</v>
      </c>
      <c r="AS53">
        <f>_xlfn.XLOOKUP(B53,InstallDate!$H$2:$H$389,InstallDate!$BE$2:$BE$389)</f>
        <v>0</v>
      </c>
      <c r="AT53">
        <f t="shared" si="1"/>
        <v>0</v>
      </c>
      <c r="AU53">
        <f t="shared" si="0"/>
        <v>0</v>
      </c>
      <c r="AV53">
        <f t="shared" si="2"/>
        <v>0</v>
      </c>
      <c r="AW53">
        <f t="shared" si="3"/>
        <v>0</v>
      </c>
      <c r="AX53">
        <f t="shared" si="4"/>
        <v>0</v>
      </c>
      <c r="AY53">
        <f t="shared" si="5"/>
        <v>1</v>
      </c>
      <c r="AZ53">
        <f t="shared" si="6"/>
        <v>1</v>
      </c>
    </row>
    <row r="54" spans="1:52" x14ac:dyDescent="0.2">
      <c r="A54">
        <v>53</v>
      </c>
      <c r="B54" t="s">
        <v>97</v>
      </c>
      <c r="C54">
        <v>0</v>
      </c>
      <c r="H54" t="s">
        <v>97</v>
      </c>
      <c r="I54" t="s">
        <v>45</v>
      </c>
      <c r="Q54" t="s">
        <v>97</v>
      </c>
      <c r="R54">
        <v>16.89905048</v>
      </c>
      <c r="S54">
        <v>6</v>
      </c>
      <c r="T54">
        <v>130</v>
      </c>
      <c r="V54">
        <v>0</v>
      </c>
      <c r="W54">
        <v>0</v>
      </c>
      <c r="X54" t="s">
        <v>97</v>
      </c>
      <c r="Y54">
        <v>0</v>
      </c>
      <c r="Z54">
        <v>6</v>
      </c>
      <c r="AA54">
        <v>16.899999999999999</v>
      </c>
      <c r="AB54">
        <v>130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16.89905048</v>
      </c>
      <c r="AR54">
        <v>0</v>
      </c>
      <c r="AS54">
        <f>_xlfn.XLOOKUP(B54,InstallDate!$H$2:$H$389,InstallDate!$BE$2:$BE$389)</f>
        <v>0</v>
      </c>
      <c r="AT54">
        <f t="shared" si="1"/>
        <v>0</v>
      </c>
      <c r="AU54">
        <f t="shared" si="0"/>
        <v>0</v>
      </c>
      <c r="AV54">
        <f t="shared" si="2"/>
        <v>0</v>
      </c>
      <c r="AW54">
        <f t="shared" si="3"/>
        <v>0</v>
      </c>
      <c r="AX54">
        <f t="shared" si="4"/>
        <v>0</v>
      </c>
      <c r="AY54">
        <f t="shared" si="5"/>
        <v>1</v>
      </c>
      <c r="AZ54">
        <f t="shared" si="6"/>
        <v>1</v>
      </c>
    </row>
    <row r="55" spans="1:52" x14ac:dyDescent="0.2">
      <c r="A55">
        <v>54</v>
      </c>
      <c r="B55" t="s">
        <v>98</v>
      </c>
      <c r="C55">
        <v>0</v>
      </c>
      <c r="H55" t="s">
        <v>98</v>
      </c>
      <c r="I55" t="s">
        <v>45</v>
      </c>
      <c r="Q55" t="s">
        <v>98</v>
      </c>
      <c r="R55">
        <v>74.852943460000006</v>
      </c>
      <c r="S55">
        <v>6</v>
      </c>
      <c r="T55">
        <v>130</v>
      </c>
      <c r="V55">
        <v>0</v>
      </c>
      <c r="W55">
        <v>0</v>
      </c>
      <c r="X55" t="s">
        <v>98</v>
      </c>
      <c r="Y55">
        <v>0</v>
      </c>
      <c r="Z55">
        <v>6</v>
      </c>
      <c r="AA55">
        <v>74.849999999999994</v>
      </c>
      <c r="AB55">
        <v>130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74.852943460000006</v>
      </c>
      <c r="AR55">
        <v>0</v>
      </c>
      <c r="AS55">
        <f>_xlfn.XLOOKUP(B55,InstallDate!$H$2:$H$389,InstallDate!$BE$2:$BE$389)</f>
        <v>0</v>
      </c>
      <c r="AT55">
        <f t="shared" si="1"/>
        <v>0</v>
      </c>
      <c r="AU55">
        <f t="shared" si="0"/>
        <v>0</v>
      </c>
      <c r="AV55">
        <f t="shared" si="2"/>
        <v>0</v>
      </c>
      <c r="AW55">
        <f t="shared" si="3"/>
        <v>0</v>
      </c>
      <c r="AX55">
        <f t="shared" si="4"/>
        <v>0</v>
      </c>
      <c r="AY55">
        <f t="shared" si="5"/>
        <v>1</v>
      </c>
      <c r="AZ55">
        <f t="shared" si="6"/>
        <v>1</v>
      </c>
    </row>
    <row r="56" spans="1:52" x14ac:dyDescent="0.2">
      <c r="A56">
        <v>55</v>
      </c>
      <c r="B56" t="s">
        <v>99</v>
      </c>
      <c r="C56">
        <v>0</v>
      </c>
      <c r="H56" t="s">
        <v>99</v>
      </c>
      <c r="I56" t="s">
        <v>45</v>
      </c>
      <c r="Q56" t="s">
        <v>99</v>
      </c>
      <c r="R56">
        <v>60.0068038</v>
      </c>
      <c r="S56">
        <v>6</v>
      </c>
      <c r="T56">
        <v>130</v>
      </c>
      <c r="V56">
        <v>0</v>
      </c>
      <c r="W56">
        <v>0</v>
      </c>
      <c r="X56" t="s">
        <v>99</v>
      </c>
      <c r="Y56">
        <v>0</v>
      </c>
      <c r="Z56">
        <v>6</v>
      </c>
      <c r="AA56">
        <v>60.01</v>
      </c>
      <c r="AB56">
        <v>130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60.0068038</v>
      </c>
      <c r="AR56">
        <v>0</v>
      </c>
      <c r="AS56">
        <f>_xlfn.XLOOKUP(B56,InstallDate!$H$2:$H$389,InstallDate!$BE$2:$BE$389)</f>
        <v>0</v>
      </c>
      <c r="AT56">
        <f t="shared" si="1"/>
        <v>0</v>
      </c>
      <c r="AU56">
        <f t="shared" si="0"/>
        <v>0</v>
      </c>
      <c r="AV56">
        <f t="shared" si="2"/>
        <v>0</v>
      </c>
      <c r="AW56">
        <f t="shared" si="3"/>
        <v>0</v>
      </c>
      <c r="AX56">
        <f t="shared" si="4"/>
        <v>0</v>
      </c>
      <c r="AY56">
        <f t="shared" si="5"/>
        <v>1</v>
      </c>
      <c r="AZ56">
        <f t="shared" si="6"/>
        <v>1</v>
      </c>
    </row>
    <row r="57" spans="1:52" x14ac:dyDescent="0.2">
      <c r="A57">
        <v>56</v>
      </c>
      <c r="B57" t="s">
        <v>100</v>
      </c>
      <c r="C57">
        <v>0</v>
      </c>
      <c r="H57" t="s">
        <v>100</v>
      </c>
      <c r="I57" t="s">
        <v>45</v>
      </c>
      <c r="Q57" t="s">
        <v>100</v>
      </c>
      <c r="R57">
        <v>47.564341919999997</v>
      </c>
      <c r="S57">
        <v>6</v>
      </c>
      <c r="T57">
        <v>130</v>
      </c>
      <c r="V57">
        <v>0</v>
      </c>
      <c r="W57">
        <v>0</v>
      </c>
      <c r="X57" t="s">
        <v>100</v>
      </c>
      <c r="Y57">
        <v>0</v>
      </c>
      <c r="Z57">
        <v>6</v>
      </c>
      <c r="AA57">
        <v>47.56</v>
      </c>
      <c r="AB57">
        <v>130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47.564341919999997</v>
      </c>
      <c r="AR57">
        <v>0</v>
      </c>
      <c r="AS57">
        <f>_xlfn.XLOOKUP(B57,InstallDate!$H$2:$H$389,InstallDate!$BE$2:$BE$389)</f>
        <v>0</v>
      </c>
      <c r="AT57">
        <f t="shared" si="1"/>
        <v>0</v>
      </c>
      <c r="AU57">
        <f t="shared" si="0"/>
        <v>0</v>
      </c>
      <c r="AV57">
        <f t="shared" si="2"/>
        <v>0</v>
      </c>
      <c r="AW57">
        <f t="shared" si="3"/>
        <v>0</v>
      </c>
      <c r="AX57">
        <f t="shared" si="4"/>
        <v>0</v>
      </c>
      <c r="AY57">
        <f t="shared" si="5"/>
        <v>1</v>
      </c>
      <c r="AZ57">
        <f t="shared" si="6"/>
        <v>1</v>
      </c>
    </row>
    <row r="58" spans="1:52" x14ac:dyDescent="0.2">
      <c r="A58">
        <v>57</v>
      </c>
      <c r="B58" t="s">
        <v>101</v>
      </c>
      <c r="C58">
        <v>0</v>
      </c>
      <c r="H58" t="s">
        <v>101</v>
      </c>
      <c r="I58" t="s">
        <v>45</v>
      </c>
      <c r="Q58" t="s">
        <v>101</v>
      </c>
      <c r="R58">
        <v>53.970921060000002</v>
      </c>
      <c r="S58">
        <v>6</v>
      </c>
      <c r="T58">
        <v>130</v>
      </c>
      <c r="V58">
        <v>0</v>
      </c>
      <c r="W58">
        <v>0</v>
      </c>
      <c r="X58" t="s">
        <v>101</v>
      </c>
      <c r="Y58">
        <v>0</v>
      </c>
      <c r="Z58">
        <v>6</v>
      </c>
      <c r="AA58">
        <v>53.97</v>
      </c>
      <c r="AB58">
        <v>130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53.970921060000002</v>
      </c>
      <c r="AR58">
        <v>0</v>
      </c>
      <c r="AS58">
        <f>_xlfn.XLOOKUP(B58,InstallDate!$H$2:$H$389,InstallDate!$BE$2:$BE$389)</f>
        <v>0</v>
      </c>
      <c r="AT58">
        <f t="shared" si="1"/>
        <v>0</v>
      </c>
      <c r="AU58">
        <f t="shared" si="0"/>
        <v>0</v>
      </c>
      <c r="AV58">
        <f t="shared" si="2"/>
        <v>0</v>
      </c>
      <c r="AW58">
        <f t="shared" si="3"/>
        <v>0</v>
      </c>
      <c r="AX58">
        <f t="shared" si="4"/>
        <v>0</v>
      </c>
      <c r="AY58">
        <f t="shared" si="5"/>
        <v>1</v>
      </c>
      <c r="AZ58">
        <f t="shared" si="6"/>
        <v>1</v>
      </c>
    </row>
    <row r="59" spans="1:52" x14ac:dyDescent="0.2">
      <c r="A59">
        <v>58</v>
      </c>
      <c r="B59" t="s">
        <v>102</v>
      </c>
      <c r="C59">
        <v>0</v>
      </c>
      <c r="H59" t="s">
        <v>102</v>
      </c>
      <c r="I59" t="s">
        <v>45</v>
      </c>
      <c r="Q59" t="s">
        <v>102</v>
      </c>
      <c r="R59">
        <v>137.87992700000001</v>
      </c>
      <c r="S59">
        <v>6</v>
      </c>
      <c r="T59">
        <v>130</v>
      </c>
      <c r="V59">
        <v>0</v>
      </c>
      <c r="W59">
        <v>0</v>
      </c>
      <c r="X59" t="s">
        <v>102</v>
      </c>
      <c r="Y59">
        <v>0</v>
      </c>
      <c r="Z59">
        <v>6</v>
      </c>
      <c r="AA59">
        <v>137.88</v>
      </c>
      <c r="AB59">
        <v>130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137.87992700000001</v>
      </c>
      <c r="AR59">
        <v>0</v>
      </c>
      <c r="AS59">
        <f>_xlfn.XLOOKUP(B59,InstallDate!$H$2:$H$389,InstallDate!$BE$2:$BE$389)</f>
        <v>0</v>
      </c>
      <c r="AT59">
        <f t="shared" si="1"/>
        <v>0</v>
      </c>
      <c r="AU59">
        <f t="shared" si="0"/>
        <v>0</v>
      </c>
      <c r="AV59">
        <f t="shared" si="2"/>
        <v>0</v>
      </c>
      <c r="AW59">
        <f t="shared" si="3"/>
        <v>0</v>
      </c>
      <c r="AX59">
        <f t="shared" si="4"/>
        <v>0</v>
      </c>
      <c r="AY59">
        <f t="shared" si="5"/>
        <v>1</v>
      </c>
      <c r="AZ59">
        <f t="shared" si="6"/>
        <v>1</v>
      </c>
    </row>
    <row r="60" spans="1:52" x14ac:dyDescent="0.2">
      <c r="A60">
        <v>59</v>
      </c>
      <c r="B60" t="s">
        <v>103</v>
      </c>
      <c r="C60">
        <v>0</v>
      </c>
      <c r="H60" t="s">
        <v>103</v>
      </c>
      <c r="I60" t="s">
        <v>45</v>
      </c>
      <c r="Q60" t="s">
        <v>103</v>
      </c>
      <c r="R60">
        <v>40.401627679999997</v>
      </c>
      <c r="S60">
        <v>6</v>
      </c>
      <c r="T60">
        <v>130</v>
      </c>
      <c r="V60">
        <v>0</v>
      </c>
      <c r="W60">
        <v>0</v>
      </c>
      <c r="X60" t="s">
        <v>103</v>
      </c>
      <c r="Y60">
        <v>0</v>
      </c>
      <c r="Z60">
        <v>6</v>
      </c>
      <c r="AA60">
        <v>40.4</v>
      </c>
      <c r="AB60">
        <v>130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40.401627670000003</v>
      </c>
      <c r="AR60">
        <v>0</v>
      </c>
      <c r="AS60">
        <f>_xlfn.XLOOKUP(B60,InstallDate!$H$2:$H$389,InstallDate!$BE$2:$BE$389)</f>
        <v>0</v>
      </c>
      <c r="AT60">
        <f t="shared" si="1"/>
        <v>0</v>
      </c>
      <c r="AU60">
        <f t="shared" si="0"/>
        <v>0</v>
      </c>
      <c r="AV60">
        <f t="shared" si="2"/>
        <v>0</v>
      </c>
      <c r="AW60">
        <f t="shared" si="3"/>
        <v>0</v>
      </c>
      <c r="AX60">
        <f t="shared" si="4"/>
        <v>0</v>
      </c>
      <c r="AY60">
        <f t="shared" si="5"/>
        <v>1</v>
      </c>
      <c r="AZ60">
        <f t="shared" si="6"/>
        <v>1</v>
      </c>
    </row>
    <row r="61" spans="1:52" x14ac:dyDescent="0.2">
      <c r="A61">
        <v>60</v>
      </c>
      <c r="B61" t="s">
        <v>104</v>
      </c>
      <c r="C61">
        <v>0</v>
      </c>
      <c r="H61" t="s">
        <v>104</v>
      </c>
      <c r="I61" t="s">
        <v>45</v>
      </c>
      <c r="Q61" t="s">
        <v>104</v>
      </c>
      <c r="R61">
        <v>50.539185410000002</v>
      </c>
      <c r="S61">
        <v>6</v>
      </c>
      <c r="T61">
        <v>130</v>
      </c>
      <c r="V61">
        <v>0</v>
      </c>
      <c r="W61">
        <v>0</v>
      </c>
      <c r="X61" t="s">
        <v>104</v>
      </c>
      <c r="Y61">
        <v>0</v>
      </c>
      <c r="Z61">
        <v>6</v>
      </c>
      <c r="AA61">
        <v>50.54</v>
      </c>
      <c r="AB61">
        <v>130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50.539185410000002</v>
      </c>
      <c r="AR61">
        <v>0</v>
      </c>
      <c r="AS61">
        <f>_xlfn.XLOOKUP(B61,InstallDate!$H$2:$H$389,InstallDate!$BE$2:$BE$389)</f>
        <v>0</v>
      </c>
      <c r="AT61">
        <f t="shared" si="1"/>
        <v>0</v>
      </c>
      <c r="AU61">
        <f t="shared" si="0"/>
        <v>0</v>
      </c>
      <c r="AV61">
        <f t="shared" si="2"/>
        <v>0</v>
      </c>
      <c r="AW61">
        <f t="shared" si="3"/>
        <v>0</v>
      </c>
      <c r="AX61">
        <f t="shared" si="4"/>
        <v>0</v>
      </c>
      <c r="AY61">
        <f t="shared" si="5"/>
        <v>1</v>
      </c>
      <c r="AZ61">
        <f t="shared" si="6"/>
        <v>1</v>
      </c>
    </row>
    <row r="62" spans="1:52" x14ac:dyDescent="0.2">
      <c r="A62">
        <v>61</v>
      </c>
      <c r="B62" t="s">
        <v>105</v>
      </c>
      <c r="C62">
        <v>0</v>
      </c>
      <c r="H62" t="s">
        <v>105</v>
      </c>
      <c r="I62" t="s">
        <v>45</v>
      </c>
      <c r="Q62" t="s">
        <v>105</v>
      </c>
      <c r="R62">
        <v>130.1747675</v>
      </c>
      <c r="S62">
        <v>6</v>
      </c>
      <c r="T62">
        <v>130</v>
      </c>
      <c r="V62">
        <v>0</v>
      </c>
      <c r="W62">
        <v>0</v>
      </c>
      <c r="X62" t="s">
        <v>105</v>
      </c>
      <c r="Y62">
        <v>0</v>
      </c>
      <c r="Z62">
        <v>6</v>
      </c>
      <c r="AA62">
        <v>130.16999999999999</v>
      </c>
      <c r="AB62">
        <v>130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130.1747675</v>
      </c>
      <c r="AR62">
        <v>0</v>
      </c>
      <c r="AS62">
        <f>_xlfn.XLOOKUP(B62,InstallDate!$H$2:$H$389,InstallDate!$BE$2:$BE$389)</f>
        <v>0</v>
      </c>
      <c r="AT62">
        <f t="shared" si="1"/>
        <v>0</v>
      </c>
      <c r="AU62">
        <f t="shared" si="0"/>
        <v>0</v>
      </c>
      <c r="AV62">
        <f t="shared" si="2"/>
        <v>0</v>
      </c>
      <c r="AW62">
        <f t="shared" si="3"/>
        <v>0</v>
      </c>
      <c r="AX62">
        <f t="shared" si="4"/>
        <v>0</v>
      </c>
      <c r="AY62">
        <f t="shared" si="5"/>
        <v>1</v>
      </c>
      <c r="AZ62">
        <f t="shared" si="6"/>
        <v>1</v>
      </c>
    </row>
    <row r="63" spans="1:52" x14ac:dyDescent="0.2">
      <c r="A63">
        <v>62</v>
      </c>
      <c r="B63" t="s">
        <v>106</v>
      </c>
      <c r="C63">
        <v>0</v>
      </c>
      <c r="H63" t="s">
        <v>106</v>
      </c>
      <c r="I63" t="s">
        <v>45</v>
      </c>
      <c r="Q63" t="s">
        <v>106</v>
      </c>
      <c r="R63">
        <v>36.637534340000002</v>
      </c>
      <c r="S63">
        <v>6</v>
      </c>
      <c r="T63">
        <v>130</v>
      </c>
      <c r="V63">
        <v>0</v>
      </c>
      <c r="W63">
        <v>0</v>
      </c>
      <c r="X63" t="s">
        <v>106</v>
      </c>
      <c r="Y63">
        <v>0</v>
      </c>
      <c r="Z63">
        <v>6</v>
      </c>
      <c r="AA63">
        <v>36.64</v>
      </c>
      <c r="AB63">
        <v>130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36.637534340000002</v>
      </c>
      <c r="AR63">
        <v>0</v>
      </c>
      <c r="AS63">
        <f>_xlfn.XLOOKUP(B63,InstallDate!$H$2:$H$389,InstallDate!$BE$2:$BE$389)</f>
        <v>0</v>
      </c>
      <c r="AT63">
        <f t="shared" si="1"/>
        <v>0</v>
      </c>
      <c r="AU63">
        <f t="shared" si="0"/>
        <v>0</v>
      </c>
      <c r="AV63">
        <f t="shared" si="2"/>
        <v>0</v>
      </c>
      <c r="AW63">
        <f t="shared" si="3"/>
        <v>0</v>
      </c>
      <c r="AX63">
        <f t="shared" si="4"/>
        <v>0</v>
      </c>
      <c r="AY63">
        <f t="shared" si="5"/>
        <v>1</v>
      </c>
      <c r="AZ63">
        <f t="shared" si="6"/>
        <v>1</v>
      </c>
    </row>
    <row r="64" spans="1:52" x14ac:dyDescent="0.2">
      <c r="A64">
        <v>63</v>
      </c>
      <c r="B64" t="s">
        <v>107</v>
      </c>
      <c r="C64">
        <v>0</v>
      </c>
      <c r="H64" t="s">
        <v>107</v>
      </c>
      <c r="I64" t="s">
        <v>45</v>
      </c>
      <c r="Q64" t="s">
        <v>107</v>
      </c>
      <c r="R64">
        <v>29.96011365</v>
      </c>
      <c r="S64">
        <v>6</v>
      </c>
      <c r="T64">
        <v>130</v>
      </c>
      <c r="V64">
        <v>0</v>
      </c>
      <c r="W64">
        <v>0</v>
      </c>
      <c r="X64" t="s">
        <v>107</v>
      </c>
      <c r="Y64">
        <v>0</v>
      </c>
      <c r="Z64">
        <v>6</v>
      </c>
      <c r="AA64">
        <v>29.96</v>
      </c>
      <c r="AB64">
        <v>130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29.96011365</v>
      </c>
      <c r="AR64">
        <v>0</v>
      </c>
      <c r="AS64">
        <f>_xlfn.XLOOKUP(B64,InstallDate!$H$2:$H$389,InstallDate!$BE$2:$BE$389)</f>
        <v>0</v>
      </c>
      <c r="AT64">
        <f t="shared" si="1"/>
        <v>0</v>
      </c>
      <c r="AU64">
        <f t="shared" si="0"/>
        <v>0</v>
      </c>
      <c r="AV64">
        <f t="shared" si="2"/>
        <v>0</v>
      </c>
      <c r="AW64">
        <f t="shared" si="3"/>
        <v>0</v>
      </c>
      <c r="AX64">
        <f t="shared" si="4"/>
        <v>0</v>
      </c>
      <c r="AY64">
        <f t="shared" si="5"/>
        <v>1</v>
      </c>
      <c r="AZ64">
        <f t="shared" si="6"/>
        <v>1</v>
      </c>
    </row>
    <row r="65" spans="1:52" x14ac:dyDescent="0.2">
      <c r="A65">
        <v>64</v>
      </c>
      <c r="B65" t="s">
        <v>108</v>
      </c>
      <c r="C65">
        <v>0</v>
      </c>
      <c r="H65" t="s">
        <v>108</v>
      </c>
      <c r="I65" t="s">
        <v>45</v>
      </c>
      <c r="Q65" t="s">
        <v>108</v>
      </c>
      <c r="R65">
        <v>0.64843706300000004</v>
      </c>
      <c r="S65">
        <v>6</v>
      </c>
      <c r="T65">
        <v>130</v>
      </c>
      <c r="V65">
        <v>0</v>
      </c>
      <c r="W65">
        <v>0</v>
      </c>
      <c r="X65" t="s">
        <v>108</v>
      </c>
      <c r="Y65">
        <v>0</v>
      </c>
      <c r="Z65">
        <v>6</v>
      </c>
      <c r="AA65">
        <v>0.65</v>
      </c>
      <c r="AB65">
        <v>130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0.64843706300000004</v>
      </c>
      <c r="AR65">
        <v>0</v>
      </c>
      <c r="AS65">
        <f>_xlfn.XLOOKUP(B65,InstallDate!$H$2:$H$389,InstallDate!$BE$2:$BE$389)</f>
        <v>0</v>
      </c>
      <c r="AT65">
        <f t="shared" si="1"/>
        <v>0</v>
      </c>
      <c r="AU65">
        <f t="shared" si="0"/>
        <v>0</v>
      </c>
      <c r="AV65">
        <f t="shared" si="2"/>
        <v>0</v>
      </c>
      <c r="AW65">
        <f t="shared" si="3"/>
        <v>0</v>
      </c>
      <c r="AX65">
        <f t="shared" si="4"/>
        <v>0</v>
      </c>
      <c r="AY65">
        <f t="shared" si="5"/>
        <v>1</v>
      </c>
      <c r="AZ65">
        <f t="shared" si="6"/>
        <v>1</v>
      </c>
    </row>
    <row r="66" spans="1:52" x14ac:dyDescent="0.2">
      <c r="A66">
        <v>65</v>
      </c>
      <c r="B66" t="s">
        <v>109</v>
      </c>
      <c r="C66">
        <v>0</v>
      </c>
      <c r="H66" t="s">
        <v>109</v>
      </c>
      <c r="I66" t="s">
        <v>45</v>
      </c>
      <c r="Q66" t="s">
        <v>109</v>
      </c>
      <c r="R66">
        <v>61.888741029999998</v>
      </c>
      <c r="S66">
        <v>6</v>
      </c>
      <c r="T66">
        <v>130</v>
      </c>
      <c r="V66">
        <v>0</v>
      </c>
      <c r="W66">
        <v>0</v>
      </c>
      <c r="X66" t="s">
        <v>109</v>
      </c>
      <c r="Y66">
        <v>0</v>
      </c>
      <c r="Z66">
        <v>6</v>
      </c>
      <c r="AA66">
        <v>61.89</v>
      </c>
      <c r="AB66">
        <v>130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61.888741029999998</v>
      </c>
      <c r="AR66">
        <v>0</v>
      </c>
      <c r="AS66">
        <f>_xlfn.XLOOKUP(B66,InstallDate!$H$2:$H$389,InstallDate!$BE$2:$BE$389)</f>
        <v>0</v>
      </c>
      <c r="AT66">
        <f t="shared" si="1"/>
        <v>0</v>
      </c>
      <c r="AU66">
        <f t="shared" ref="AU66:AU129" si="7">AC66/MAX($AC$2:$AC$389)</f>
        <v>0</v>
      </c>
      <c r="AV66">
        <f t="shared" si="2"/>
        <v>0</v>
      </c>
      <c r="AW66">
        <f t="shared" si="3"/>
        <v>0</v>
      </c>
      <c r="AX66">
        <f t="shared" si="4"/>
        <v>0</v>
      </c>
      <c r="AY66">
        <f t="shared" si="5"/>
        <v>1</v>
      </c>
      <c r="AZ66">
        <f t="shared" ref="AZ66:AZ129" si="8">IF(AND(MAX(AV66:AY66)&gt;2,AS66=1),3,IF(AND(MAX(AV66:AY66)&lt;=2,AS66=1),2,IF(AND(MAX(AV66:AY66)&gt;1,AS66=0),2,1)))</f>
        <v>1</v>
      </c>
    </row>
    <row r="67" spans="1:52" x14ac:dyDescent="0.2">
      <c r="A67">
        <v>66</v>
      </c>
      <c r="B67" t="s">
        <v>110</v>
      </c>
      <c r="C67">
        <v>0</v>
      </c>
      <c r="H67" t="s">
        <v>110</v>
      </c>
      <c r="I67" t="s">
        <v>45</v>
      </c>
      <c r="Q67" t="s">
        <v>110</v>
      </c>
      <c r="R67">
        <v>67.535537930000004</v>
      </c>
      <c r="S67">
        <v>6</v>
      </c>
      <c r="T67">
        <v>130</v>
      </c>
      <c r="V67">
        <v>0</v>
      </c>
      <c r="W67">
        <v>0</v>
      </c>
      <c r="X67" t="s">
        <v>110</v>
      </c>
      <c r="Y67">
        <v>0</v>
      </c>
      <c r="Z67">
        <v>6</v>
      </c>
      <c r="AA67">
        <v>67.540000000000006</v>
      </c>
      <c r="AB67">
        <v>130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67.535537930000004</v>
      </c>
      <c r="AR67">
        <v>0</v>
      </c>
      <c r="AS67">
        <f>_xlfn.XLOOKUP(B67,InstallDate!$H$2:$H$389,InstallDate!$BE$2:$BE$389)</f>
        <v>0</v>
      </c>
      <c r="AT67">
        <f t="shared" ref="AT67:AT130" si="9">IF(COUNTIF(AR67:AS67,1)=0,0,SUM(AR67:AS67)/COUNTIF(AR67:AS67,1))</f>
        <v>0</v>
      </c>
      <c r="AU67">
        <f t="shared" si="7"/>
        <v>0</v>
      </c>
      <c r="AV67">
        <f t="shared" ref="AV67:AV130" si="10">IF($AU67&gt;=_xlfn.PERCENTILE.INC($AU$2:$AU$369,AV$1),4,0)</f>
        <v>0</v>
      </c>
      <c r="AW67">
        <f t="shared" ref="AW67:AW130" si="11">IF($AU67&gt;=_xlfn.PERCENTILE.INC($AU$2:$AU$369,AW$1),3,0)</f>
        <v>0</v>
      </c>
      <c r="AX67">
        <f t="shared" ref="AX67:AX130" si="12">IF($AU67&gt;=_xlfn.PERCENTILE.INC($AU$2:$AU$369,AX$1),2,0)</f>
        <v>0</v>
      </c>
      <c r="AY67">
        <f t="shared" ref="AY67:AY130" si="13">IF(SUM(AV67:AX67)&lt;1,1,0)</f>
        <v>1</v>
      </c>
      <c r="AZ67">
        <f t="shared" si="8"/>
        <v>1</v>
      </c>
    </row>
    <row r="68" spans="1:52" x14ac:dyDescent="0.2">
      <c r="A68">
        <v>67</v>
      </c>
      <c r="B68" t="s">
        <v>111</v>
      </c>
      <c r="C68">
        <v>0</v>
      </c>
      <c r="H68" t="s">
        <v>111</v>
      </c>
      <c r="I68" t="s">
        <v>45</v>
      </c>
      <c r="Q68" t="s">
        <v>111</v>
      </c>
      <c r="R68">
        <v>13.11924061</v>
      </c>
      <c r="S68">
        <v>6</v>
      </c>
      <c r="T68">
        <v>130</v>
      </c>
      <c r="V68">
        <v>0</v>
      </c>
      <c r="W68">
        <v>0</v>
      </c>
      <c r="X68" t="s">
        <v>111</v>
      </c>
      <c r="Y68">
        <v>0</v>
      </c>
      <c r="Z68">
        <v>6</v>
      </c>
      <c r="AA68">
        <v>13.12</v>
      </c>
      <c r="AB68">
        <v>130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13.11924061</v>
      </c>
      <c r="AR68">
        <v>0</v>
      </c>
      <c r="AS68">
        <f>_xlfn.XLOOKUP(B68,InstallDate!$H$2:$H$389,InstallDate!$BE$2:$BE$389)</f>
        <v>0</v>
      </c>
      <c r="AT68">
        <f t="shared" si="9"/>
        <v>0</v>
      </c>
      <c r="AU68">
        <f t="shared" si="7"/>
        <v>0</v>
      </c>
      <c r="AV68">
        <f t="shared" si="10"/>
        <v>0</v>
      </c>
      <c r="AW68">
        <f t="shared" si="11"/>
        <v>0</v>
      </c>
      <c r="AX68">
        <f t="shared" si="12"/>
        <v>0</v>
      </c>
      <c r="AY68">
        <f t="shared" si="13"/>
        <v>1</v>
      </c>
      <c r="AZ68">
        <f t="shared" si="8"/>
        <v>1</v>
      </c>
    </row>
    <row r="69" spans="1:52" x14ac:dyDescent="0.2">
      <c r="A69">
        <v>68</v>
      </c>
      <c r="B69" t="s">
        <v>112</v>
      </c>
      <c r="C69">
        <v>0</v>
      </c>
      <c r="H69" t="s">
        <v>112</v>
      </c>
      <c r="I69" t="s">
        <v>45</v>
      </c>
      <c r="Q69" t="s">
        <v>112</v>
      </c>
      <c r="R69">
        <v>37.71846498</v>
      </c>
      <c r="S69">
        <v>6</v>
      </c>
      <c r="T69">
        <v>130</v>
      </c>
      <c r="V69">
        <v>0</v>
      </c>
      <c r="W69">
        <v>0</v>
      </c>
      <c r="X69" t="s">
        <v>112</v>
      </c>
      <c r="Y69">
        <v>0</v>
      </c>
      <c r="Z69">
        <v>6</v>
      </c>
      <c r="AA69">
        <v>37.72</v>
      </c>
      <c r="AB69">
        <v>130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37.71846498</v>
      </c>
      <c r="AR69">
        <v>0</v>
      </c>
      <c r="AS69">
        <f>_xlfn.XLOOKUP(B69,InstallDate!$H$2:$H$389,InstallDate!$BE$2:$BE$389)</f>
        <v>0</v>
      </c>
      <c r="AT69">
        <f t="shared" si="9"/>
        <v>0</v>
      </c>
      <c r="AU69">
        <f t="shared" si="7"/>
        <v>0</v>
      </c>
      <c r="AV69">
        <f t="shared" si="10"/>
        <v>0</v>
      </c>
      <c r="AW69">
        <f t="shared" si="11"/>
        <v>0</v>
      </c>
      <c r="AX69">
        <f t="shared" si="12"/>
        <v>0</v>
      </c>
      <c r="AY69">
        <f t="shared" si="13"/>
        <v>1</v>
      </c>
      <c r="AZ69">
        <f t="shared" si="8"/>
        <v>1</v>
      </c>
    </row>
    <row r="70" spans="1:52" x14ac:dyDescent="0.2">
      <c r="A70">
        <v>69</v>
      </c>
      <c r="B70" t="s">
        <v>113</v>
      </c>
      <c r="C70">
        <v>0</v>
      </c>
      <c r="H70" t="s">
        <v>113</v>
      </c>
      <c r="I70" t="s">
        <v>45</v>
      </c>
      <c r="Q70" t="s">
        <v>113</v>
      </c>
      <c r="R70">
        <v>34.8410321</v>
      </c>
      <c r="S70">
        <v>6</v>
      </c>
      <c r="T70">
        <v>130</v>
      </c>
      <c r="V70">
        <v>0</v>
      </c>
      <c r="W70">
        <v>0</v>
      </c>
      <c r="X70" t="s">
        <v>113</v>
      </c>
      <c r="Y70">
        <v>0</v>
      </c>
      <c r="Z70">
        <v>6</v>
      </c>
      <c r="AA70">
        <v>34.840000000000003</v>
      </c>
      <c r="AB70">
        <v>130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34.8410321</v>
      </c>
      <c r="AR70">
        <v>0</v>
      </c>
      <c r="AS70">
        <f>_xlfn.XLOOKUP(B70,InstallDate!$H$2:$H$389,InstallDate!$BE$2:$BE$389)</f>
        <v>0</v>
      </c>
      <c r="AT70">
        <f t="shared" si="9"/>
        <v>0</v>
      </c>
      <c r="AU70">
        <f t="shared" si="7"/>
        <v>0</v>
      </c>
      <c r="AV70">
        <f t="shared" si="10"/>
        <v>0</v>
      </c>
      <c r="AW70">
        <f t="shared" si="11"/>
        <v>0</v>
      </c>
      <c r="AX70">
        <f t="shared" si="12"/>
        <v>0</v>
      </c>
      <c r="AY70">
        <f t="shared" si="13"/>
        <v>1</v>
      </c>
      <c r="AZ70">
        <f t="shared" si="8"/>
        <v>1</v>
      </c>
    </row>
    <row r="71" spans="1:52" x14ac:dyDescent="0.2">
      <c r="A71">
        <v>70</v>
      </c>
      <c r="B71" t="s">
        <v>114</v>
      </c>
      <c r="C71">
        <v>0</v>
      </c>
      <c r="H71" t="s">
        <v>114</v>
      </c>
      <c r="I71" t="s">
        <v>45</v>
      </c>
      <c r="Q71" t="s">
        <v>114</v>
      </c>
      <c r="R71">
        <v>10.8555458</v>
      </c>
      <c r="S71">
        <v>6</v>
      </c>
      <c r="T71">
        <v>130</v>
      </c>
      <c r="V71">
        <v>0</v>
      </c>
      <c r="W71">
        <v>0</v>
      </c>
      <c r="X71" t="s">
        <v>114</v>
      </c>
      <c r="Y71">
        <v>0</v>
      </c>
      <c r="Z71">
        <v>6</v>
      </c>
      <c r="AA71">
        <v>10.86</v>
      </c>
      <c r="AB71">
        <v>130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10.8555458</v>
      </c>
      <c r="AR71">
        <v>0</v>
      </c>
      <c r="AS71">
        <f>_xlfn.XLOOKUP(B71,InstallDate!$H$2:$H$389,InstallDate!$BE$2:$BE$389)</f>
        <v>0</v>
      </c>
      <c r="AT71">
        <f t="shared" si="9"/>
        <v>0</v>
      </c>
      <c r="AU71">
        <f t="shared" si="7"/>
        <v>0</v>
      </c>
      <c r="AV71">
        <f t="shared" si="10"/>
        <v>0</v>
      </c>
      <c r="AW71">
        <f t="shared" si="11"/>
        <v>0</v>
      </c>
      <c r="AX71">
        <f t="shared" si="12"/>
        <v>0</v>
      </c>
      <c r="AY71">
        <f t="shared" si="13"/>
        <v>1</v>
      </c>
      <c r="AZ71">
        <f t="shared" si="8"/>
        <v>1</v>
      </c>
    </row>
    <row r="72" spans="1:52" x14ac:dyDescent="0.2">
      <c r="A72">
        <v>71</v>
      </c>
      <c r="B72" t="s">
        <v>115</v>
      </c>
      <c r="C72">
        <v>0</v>
      </c>
      <c r="H72" t="s">
        <v>115</v>
      </c>
      <c r="I72" t="s">
        <v>45</v>
      </c>
      <c r="Q72" t="s">
        <v>115</v>
      </c>
      <c r="R72">
        <v>27.54976855</v>
      </c>
      <c r="S72">
        <v>6</v>
      </c>
      <c r="T72">
        <v>130</v>
      </c>
      <c r="V72">
        <v>0</v>
      </c>
      <c r="W72">
        <v>0</v>
      </c>
      <c r="X72" t="s">
        <v>115</v>
      </c>
      <c r="Y72">
        <v>0</v>
      </c>
      <c r="Z72">
        <v>6</v>
      </c>
      <c r="AA72">
        <v>27.55</v>
      </c>
      <c r="AB72">
        <v>130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27.54976855</v>
      </c>
      <c r="AR72">
        <v>0</v>
      </c>
      <c r="AS72">
        <f>_xlfn.XLOOKUP(B72,InstallDate!$H$2:$H$389,InstallDate!$BE$2:$BE$389)</f>
        <v>0</v>
      </c>
      <c r="AT72">
        <f t="shared" si="9"/>
        <v>0</v>
      </c>
      <c r="AU72">
        <f t="shared" si="7"/>
        <v>0</v>
      </c>
      <c r="AV72">
        <f t="shared" si="10"/>
        <v>0</v>
      </c>
      <c r="AW72">
        <f t="shared" si="11"/>
        <v>0</v>
      </c>
      <c r="AX72">
        <f t="shared" si="12"/>
        <v>0</v>
      </c>
      <c r="AY72">
        <f t="shared" si="13"/>
        <v>1</v>
      </c>
      <c r="AZ72">
        <f t="shared" si="8"/>
        <v>1</v>
      </c>
    </row>
    <row r="73" spans="1:52" x14ac:dyDescent="0.2">
      <c r="A73">
        <v>72</v>
      </c>
      <c r="B73" t="s">
        <v>116</v>
      </c>
      <c r="C73">
        <v>0</v>
      </c>
      <c r="H73" t="s">
        <v>116</v>
      </c>
      <c r="I73" t="s">
        <v>45</v>
      </c>
      <c r="Q73" t="s">
        <v>116</v>
      </c>
      <c r="R73">
        <v>21.275438900000001</v>
      </c>
      <c r="S73">
        <v>6</v>
      </c>
      <c r="T73">
        <v>130</v>
      </c>
      <c r="V73">
        <v>0</v>
      </c>
      <c r="W73">
        <v>0</v>
      </c>
      <c r="X73" t="s">
        <v>116</v>
      </c>
      <c r="Y73">
        <v>0</v>
      </c>
      <c r="Z73">
        <v>6</v>
      </c>
      <c r="AA73">
        <v>21.28</v>
      </c>
      <c r="AB73">
        <v>130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21.275438900000001</v>
      </c>
      <c r="AR73">
        <v>0</v>
      </c>
      <c r="AS73">
        <f>_xlfn.XLOOKUP(B73,InstallDate!$H$2:$H$389,InstallDate!$BE$2:$BE$389)</f>
        <v>0</v>
      </c>
      <c r="AT73">
        <f t="shared" si="9"/>
        <v>0</v>
      </c>
      <c r="AU73">
        <f t="shared" si="7"/>
        <v>0</v>
      </c>
      <c r="AV73">
        <f t="shared" si="10"/>
        <v>0</v>
      </c>
      <c r="AW73">
        <f t="shared" si="11"/>
        <v>0</v>
      </c>
      <c r="AX73">
        <f t="shared" si="12"/>
        <v>0</v>
      </c>
      <c r="AY73">
        <f t="shared" si="13"/>
        <v>1</v>
      </c>
      <c r="AZ73">
        <f t="shared" si="8"/>
        <v>1</v>
      </c>
    </row>
    <row r="74" spans="1:52" x14ac:dyDescent="0.2">
      <c r="A74">
        <v>73</v>
      </c>
      <c r="B74" t="s">
        <v>117</v>
      </c>
      <c r="C74">
        <v>0</v>
      </c>
      <c r="H74" t="s">
        <v>117</v>
      </c>
      <c r="I74" t="s">
        <v>45</v>
      </c>
      <c r="Q74" t="s">
        <v>117</v>
      </c>
      <c r="R74">
        <v>13.35876466</v>
      </c>
      <c r="S74">
        <v>6</v>
      </c>
      <c r="T74">
        <v>130</v>
      </c>
      <c r="V74">
        <v>0</v>
      </c>
      <c r="W74">
        <v>0</v>
      </c>
      <c r="X74" t="s">
        <v>117</v>
      </c>
      <c r="Y74">
        <v>0</v>
      </c>
      <c r="Z74">
        <v>6</v>
      </c>
      <c r="AA74">
        <v>13.36</v>
      </c>
      <c r="AB74">
        <v>130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13.35876466</v>
      </c>
      <c r="AR74">
        <v>0</v>
      </c>
      <c r="AS74">
        <f>_xlfn.XLOOKUP(B74,InstallDate!$H$2:$H$389,InstallDate!$BE$2:$BE$389)</f>
        <v>0</v>
      </c>
      <c r="AT74">
        <f t="shared" si="9"/>
        <v>0</v>
      </c>
      <c r="AU74">
        <f t="shared" si="7"/>
        <v>0</v>
      </c>
      <c r="AV74">
        <f t="shared" si="10"/>
        <v>0</v>
      </c>
      <c r="AW74">
        <f t="shared" si="11"/>
        <v>0</v>
      </c>
      <c r="AX74">
        <f t="shared" si="12"/>
        <v>0</v>
      </c>
      <c r="AY74">
        <f t="shared" si="13"/>
        <v>1</v>
      </c>
      <c r="AZ74">
        <f t="shared" si="8"/>
        <v>1</v>
      </c>
    </row>
    <row r="75" spans="1:52" x14ac:dyDescent="0.2">
      <c r="A75">
        <v>74</v>
      </c>
      <c r="B75" t="s">
        <v>118</v>
      </c>
      <c r="C75">
        <v>0</v>
      </c>
      <c r="H75" t="s">
        <v>118</v>
      </c>
      <c r="I75" t="s">
        <v>45</v>
      </c>
      <c r="Q75" t="s">
        <v>118</v>
      </c>
      <c r="R75">
        <v>52.618579320000002</v>
      </c>
      <c r="S75">
        <v>6</v>
      </c>
      <c r="T75">
        <v>130</v>
      </c>
      <c r="V75">
        <v>0</v>
      </c>
      <c r="W75">
        <v>0</v>
      </c>
      <c r="X75" t="s">
        <v>118</v>
      </c>
      <c r="Y75">
        <v>0</v>
      </c>
      <c r="Z75">
        <v>6</v>
      </c>
      <c r="AA75">
        <v>52.62</v>
      </c>
      <c r="AB75">
        <v>130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52.618579320000002</v>
      </c>
      <c r="AR75">
        <v>0</v>
      </c>
      <c r="AS75">
        <f>_xlfn.XLOOKUP(B75,InstallDate!$H$2:$H$389,InstallDate!$BE$2:$BE$389)</f>
        <v>0</v>
      </c>
      <c r="AT75">
        <f t="shared" si="9"/>
        <v>0</v>
      </c>
      <c r="AU75">
        <f t="shared" si="7"/>
        <v>0</v>
      </c>
      <c r="AV75">
        <f t="shared" si="10"/>
        <v>0</v>
      </c>
      <c r="AW75">
        <f t="shared" si="11"/>
        <v>0</v>
      </c>
      <c r="AX75">
        <f t="shared" si="12"/>
        <v>0</v>
      </c>
      <c r="AY75">
        <f t="shared" si="13"/>
        <v>1</v>
      </c>
      <c r="AZ75">
        <f t="shared" si="8"/>
        <v>1</v>
      </c>
    </row>
    <row r="76" spans="1:52" x14ac:dyDescent="0.2">
      <c r="A76">
        <v>75</v>
      </c>
      <c r="B76" t="s">
        <v>119</v>
      </c>
      <c r="C76">
        <v>0</v>
      </c>
      <c r="H76" t="s">
        <v>119</v>
      </c>
      <c r="I76" t="s">
        <v>45</v>
      </c>
      <c r="Q76" t="s">
        <v>119</v>
      </c>
      <c r="R76">
        <v>337.67271469999997</v>
      </c>
      <c r="S76">
        <v>6</v>
      </c>
      <c r="T76">
        <v>130</v>
      </c>
      <c r="V76">
        <v>0</v>
      </c>
      <c r="W76">
        <v>0</v>
      </c>
      <c r="X76" t="s">
        <v>119</v>
      </c>
      <c r="Y76">
        <v>0</v>
      </c>
      <c r="Z76">
        <v>6</v>
      </c>
      <c r="AA76">
        <v>337.67</v>
      </c>
      <c r="AB76">
        <v>130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337.67271469999997</v>
      </c>
      <c r="AR76">
        <v>0</v>
      </c>
      <c r="AS76">
        <f>_xlfn.XLOOKUP(B76,InstallDate!$H$2:$H$389,InstallDate!$BE$2:$BE$389)</f>
        <v>0</v>
      </c>
      <c r="AT76">
        <f t="shared" si="9"/>
        <v>0</v>
      </c>
      <c r="AU76">
        <f t="shared" si="7"/>
        <v>0</v>
      </c>
      <c r="AV76">
        <f t="shared" si="10"/>
        <v>0</v>
      </c>
      <c r="AW76">
        <f t="shared" si="11"/>
        <v>0</v>
      </c>
      <c r="AX76">
        <f t="shared" si="12"/>
        <v>0</v>
      </c>
      <c r="AY76">
        <f t="shared" si="13"/>
        <v>1</v>
      </c>
      <c r="AZ76">
        <f t="shared" si="8"/>
        <v>1</v>
      </c>
    </row>
    <row r="77" spans="1:52" x14ac:dyDescent="0.2">
      <c r="A77">
        <v>76</v>
      </c>
      <c r="B77" t="s">
        <v>120</v>
      </c>
      <c r="C77">
        <v>0</v>
      </c>
      <c r="H77" t="s">
        <v>120</v>
      </c>
      <c r="I77" t="s">
        <v>45</v>
      </c>
      <c r="Q77" t="s">
        <v>120</v>
      </c>
      <c r="R77">
        <v>98.555518969999994</v>
      </c>
      <c r="S77">
        <v>6</v>
      </c>
      <c r="T77">
        <v>130</v>
      </c>
      <c r="V77">
        <v>0</v>
      </c>
      <c r="W77">
        <v>0</v>
      </c>
      <c r="X77" t="s">
        <v>120</v>
      </c>
      <c r="Y77">
        <v>0</v>
      </c>
      <c r="Z77">
        <v>6</v>
      </c>
      <c r="AA77">
        <v>98.56</v>
      </c>
      <c r="AB77">
        <v>130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98.555518969999994</v>
      </c>
      <c r="AR77">
        <v>0</v>
      </c>
      <c r="AS77">
        <f>_xlfn.XLOOKUP(B77,InstallDate!$H$2:$H$389,InstallDate!$BE$2:$BE$389)</f>
        <v>1</v>
      </c>
      <c r="AT77">
        <f t="shared" si="9"/>
        <v>1</v>
      </c>
      <c r="AU77">
        <f t="shared" si="7"/>
        <v>0</v>
      </c>
      <c r="AV77">
        <f t="shared" si="10"/>
        <v>0</v>
      </c>
      <c r="AW77">
        <f t="shared" si="11"/>
        <v>0</v>
      </c>
      <c r="AX77">
        <f t="shared" si="12"/>
        <v>0</v>
      </c>
      <c r="AY77">
        <f t="shared" si="13"/>
        <v>1</v>
      </c>
      <c r="AZ77">
        <f t="shared" si="8"/>
        <v>2</v>
      </c>
    </row>
    <row r="78" spans="1:52" x14ac:dyDescent="0.2">
      <c r="A78">
        <v>77</v>
      </c>
      <c r="B78" t="s">
        <v>121</v>
      </c>
      <c r="C78">
        <v>0</v>
      </c>
      <c r="H78" t="s">
        <v>121</v>
      </c>
      <c r="I78" t="s">
        <v>45</v>
      </c>
      <c r="Q78" t="s">
        <v>121</v>
      </c>
      <c r="R78">
        <v>78.316999850000002</v>
      </c>
      <c r="S78">
        <v>6</v>
      </c>
      <c r="T78">
        <v>130</v>
      </c>
      <c r="V78">
        <v>0</v>
      </c>
      <c r="W78">
        <v>0</v>
      </c>
      <c r="X78" t="s">
        <v>121</v>
      </c>
      <c r="Y78">
        <v>0</v>
      </c>
      <c r="Z78">
        <v>6</v>
      </c>
      <c r="AA78">
        <v>78.319999999999993</v>
      </c>
      <c r="AB78">
        <v>130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78.316999850000002</v>
      </c>
      <c r="AR78">
        <v>0</v>
      </c>
      <c r="AS78">
        <f>_xlfn.XLOOKUP(B78,InstallDate!$H$2:$H$389,InstallDate!$BE$2:$BE$389)</f>
        <v>1</v>
      </c>
      <c r="AT78">
        <f t="shared" si="9"/>
        <v>1</v>
      </c>
      <c r="AU78">
        <f t="shared" si="7"/>
        <v>0</v>
      </c>
      <c r="AV78">
        <f t="shared" si="10"/>
        <v>0</v>
      </c>
      <c r="AW78">
        <f t="shared" si="11"/>
        <v>0</v>
      </c>
      <c r="AX78">
        <f t="shared" si="12"/>
        <v>0</v>
      </c>
      <c r="AY78">
        <f t="shared" si="13"/>
        <v>1</v>
      </c>
      <c r="AZ78">
        <f t="shared" si="8"/>
        <v>2</v>
      </c>
    </row>
    <row r="79" spans="1:52" x14ac:dyDescent="0.2">
      <c r="A79">
        <v>78</v>
      </c>
      <c r="B79" t="s">
        <v>122</v>
      </c>
      <c r="C79">
        <v>0</v>
      </c>
      <c r="H79" t="s">
        <v>122</v>
      </c>
      <c r="I79" t="s">
        <v>45</v>
      </c>
      <c r="Q79" t="s">
        <v>122</v>
      </c>
      <c r="R79">
        <v>45.139138580000001</v>
      </c>
      <c r="S79">
        <v>6</v>
      </c>
      <c r="T79">
        <v>130</v>
      </c>
      <c r="V79">
        <v>0</v>
      </c>
      <c r="W79">
        <v>0</v>
      </c>
      <c r="X79" t="s">
        <v>122</v>
      </c>
      <c r="Y79">
        <v>0</v>
      </c>
      <c r="Z79">
        <v>6</v>
      </c>
      <c r="AA79">
        <v>45.14</v>
      </c>
      <c r="AB79">
        <v>130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45.139138580000001</v>
      </c>
      <c r="AR79">
        <v>0</v>
      </c>
      <c r="AS79">
        <f>_xlfn.XLOOKUP(B79,InstallDate!$H$2:$H$389,InstallDate!$BE$2:$BE$389)</f>
        <v>1</v>
      </c>
      <c r="AT79">
        <f t="shared" si="9"/>
        <v>1</v>
      </c>
      <c r="AU79">
        <f t="shared" si="7"/>
        <v>0</v>
      </c>
      <c r="AV79">
        <f t="shared" si="10"/>
        <v>0</v>
      </c>
      <c r="AW79">
        <f t="shared" si="11"/>
        <v>0</v>
      </c>
      <c r="AX79">
        <f t="shared" si="12"/>
        <v>0</v>
      </c>
      <c r="AY79">
        <f t="shared" si="13"/>
        <v>1</v>
      </c>
      <c r="AZ79">
        <f t="shared" si="8"/>
        <v>2</v>
      </c>
    </row>
    <row r="80" spans="1:52" x14ac:dyDescent="0.2">
      <c r="A80">
        <v>79</v>
      </c>
      <c r="B80" t="s">
        <v>123</v>
      </c>
      <c r="C80">
        <v>0</v>
      </c>
      <c r="H80" t="s">
        <v>123</v>
      </c>
      <c r="I80" t="s">
        <v>45</v>
      </c>
      <c r="Q80" t="s">
        <v>123</v>
      </c>
      <c r="R80">
        <v>45.021944939999997</v>
      </c>
      <c r="S80">
        <v>6</v>
      </c>
      <c r="T80">
        <v>130</v>
      </c>
      <c r="V80">
        <v>0</v>
      </c>
      <c r="W80">
        <v>0</v>
      </c>
      <c r="X80" t="s">
        <v>123</v>
      </c>
      <c r="Y80">
        <v>0</v>
      </c>
      <c r="Z80">
        <v>6</v>
      </c>
      <c r="AA80">
        <v>45.02</v>
      </c>
      <c r="AB80">
        <v>130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45.021944939999997</v>
      </c>
      <c r="AR80">
        <v>0</v>
      </c>
      <c r="AS80">
        <f>_xlfn.XLOOKUP(B80,InstallDate!$H$2:$H$389,InstallDate!$BE$2:$BE$389)</f>
        <v>1</v>
      </c>
      <c r="AT80">
        <f t="shared" si="9"/>
        <v>1</v>
      </c>
      <c r="AU80">
        <f t="shared" si="7"/>
        <v>0</v>
      </c>
      <c r="AV80">
        <f t="shared" si="10"/>
        <v>0</v>
      </c>
      <c r="AW80">
        <f t="shared" si="11"/>
        <v>0</v>
      </c>
      <c r="AX80">
        <f t="shared" si="12"/>
        <v>0</v>
      </c>
      <c r="AY80">
        <f t="shared" si="13"/>
        <v>1</v>
      </c>
      <c r="AZ80">
        <f t="shared" si="8"/>
        <v>2</v>
      </c>
    </row>
    <row r="81" spans="1:52" x14ac:dyDescent="0.2">
      <c r="A81">
        <v>80</v>
      </c>
      <c r="B81" t="s">
        <v>124</v>
      </c>
      <c r="C81">
        <v>0</v>
      </c>
      <c r="H81" t="s">
        <v>124</v>
      </c>
      <c r="I81" t="s">
        <v>45</v>
      </c>
      <c r="Q81" t="s">
        <v>124</v>
      </c>
      <c r="R81">
        <v>4.5464342059999998</v>
      </c>
      <c r="S81">
        <v>6</v>
      </c>
      <c r="T81">
        <v>130</v>
      </c>
      <c r="V81">
        <v>0</v>
      </c>
      <c r="W81">
        <v>0</v>
      </c>
      <c r="X81" t="s">
        <v>124</v>
      </c>
      <c r="Y81">
        <v>0</v>
      </c>
      <c r="Z81">
        <v>6</v>
      </c>
      <c r="AA81">
        <v>4.55</v>
      </c>
      <c r="AB81">
        <v>130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4.5464342059999998</v>
      </c>
      <c r="AR81">
        <v>0</v>
      </c>
      <c r="AS81">
        <f>_xlfn.XLOOKUP(B81,InstallDate!$H$2:$H$389,InstallDate!$BE$2:$BE$389)</f>
        <v>1</v>
      </c>
      <c r="AT81">
        <f t="shared" si="9"/>
        <v>1</v>
      </c>
      <c r="AU81">
        <f t="shared" si="7"/>
        <v>0</v>
      </c>
      <c r="AV81">
        <f t="shared" si="10"/>
        <v>0</v>
      </c>
      <c r="AW81">
        <f t="shared" si="11"/>
        <v>0</v>
      </c>
      <c r="AX81">
        <f t="shared" si="12"/>
        <v>0</v>
      </c>
      <c r="AY81">
        <f t="shared" si="13"/>
        <v>1</v>
      </c>
      <c r="AZ81">
        <f t="shared" si="8"/>
        <v>2</v>
      </c>
    </row>
    <row r="82" spans="1:52" x14ac:dyDescent="0.2">
      <c r="A82">
        <v>81</v>
      </c>
      <c r="B82" t="s">
        <v>125</v>
      </c>
      <c r="C82">
        <v>0</v>
      </c>
      <c r="H82" t="s">
        <v>125</v>
      </c>
      <c r="I82" t="s">
        <v>45</v>
      </c>
      <c r="Q82" t="s">
        <v>125</v>
      </c>
      <c r="R82">
        <v>50.729892810000003</v>
      </c>
      <c r="S82">
        <v>6</v>
      </c>
      <c r="T82">
        <v>130</v>
      </c>
      <c r="V82">
        <v>0</v>
      </c>
      <c r="W82">
        <v>0</v>
      </c>
      <c r="X82" t="s">
        <v>125</v>
      </c>
      <c r="Y82">
        <v>0</v>
      </c>
      <c r="Z82">
        <v>6</v>
      </c>
      <c r="AA82">
        <v>50.73</v>
      </c>
      <c r="AB82">
        <v>130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50.729892810000003</v>
      </c>
      <c r="AR82">
        <v>0</v>
      </c>
      <c r="AS82">
        <f>_xlfn.XLOOKUP(B82,InstallDate!$H$2:$H$389,InstallDate!$BE$2:$BE$389)</f>
        <v>0</v>
      </c>
      <c r="AT82">
        <f t="shared" si="9"/>
        <v>0</v>
      </c>
      <c r="AU82">
        <f t="shared" si="7"/>
        <v>0</v>
      </c>
      <c r="AV82">
        <f t="shared" si="10"/>
        <v>0</v>
      </c>
      <c r="AW82">
        <f t="shared" si="11"/>
        <v>0</v>
      </c>
      <c r="AX82">
        <f t="shared" si="12"/>
        <v>0</v>
      </c>
      <c r="AY82">
        <f t="shared" si="13"/>
        <v>1</v>
      </c>
      <c r="AZ82">
        <f t="shared" si="8"/>
        <v>1</v>
      </c>
    </row>
    <row r="83" spans="1:52" x14ac:dyDescent="0.2">
      <c r="A83">
        <v>82</v>
      </c>
      <c r="B83" t="s">
        <v>126</v>
      </c>
      <c r="C83">
        <v>0</v>
      </c>
      <c r="H83" t="s">
        <v>126</v>
      </c>
      <c r="I83" t="s">
        <v>45</v>
      </c>
      <c r="Q83" t="s">
        <v>126</v>
      </c>
      <c r="R83">
        <v>66.043334689999995</v>
      </c>
      <c r="S83">
        <v>6</v>
      </c>
      <c r="T83">
        <v>130</v>
      </c>
      <c r="V83">
        <v>0</v>
      </c>
      <c r="W83">
        <v>0</v>
      </c>
      <c r="X83" t="s">
        <v>126</v>
      </c>
      <c r="Y83">
        <v>0</v>
      </c>
      <c r="Z83">
        <v>6</v>
      </c>
      <c r="AA83">
        <v>66.040000000000006</v>
      </c>
      <c r="AB83">
        <v>130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66.043334689999995</v>
      </c>
      <c r="AR83">
        <v>0</v>
      </c>
      <c r="AS83">
        <f>_xlfn.XLOOKUP(B83,InstallDate!$H$2:$H$389,InstallDate!$BE$2:$BE$389)</f>
        <v>1</v>
      </c>
      <c r="AT83">
        <f t="shared" si="9"/>
        <v>1</v>
      </c>
      <c r="AU83">
        <f t="shared" si="7"/>
        <v>0</v>
      </c>
      <c r="AV83">
        <f t="shared" si="10"/>
        <v>0</v>
      </c>
      <c r="AW83">
        <f t="shared" si="11"/>
        <v>0</v>
      </c>
      <c r="AX83">
        <f t="shared" si="12"/>
        <v>0</v>
      </c>
      <c r="AY83">
        <f t="shared" si="13"/>
        <v>1</v>
      </c>
      <c r="AZ83">
        <f t="shared" si="8"/>
        <v>2</v>
      </c>
    </row>
    <row r="84" spans="1:52" x14ac:dyDescent="0.2">
      <c r="A84">
        <v>83</v>
      </c>
      <c r="B84" t="s">
        <v>127</v>
      </c>
      <c r="C84">
        <v>0</v>
      </c>
      <c r="H84" t="s">
        <v>127</v>
      </c>
      <c r="I84" t="s">
        <v>45</v>
      </c>
      <c r="Q84" t="s">
        <v>127</v>
      </c>
      <c r="R84">
        <v>325.09902069999998</v>
      </c>
      <c r="S84">
        <v>6</v>
      </c>
      <c r="T84">
        <v>130</v>
      </c>
      <c r="V84">
        <v>0</v>
      </c>
      <c r="W84">
        <v>0</v>
      </c>
      <c r="X84" t="s">
        <v>127</v>
      </c>
      <c r="Y84">
        <v>0</v>
      </c>
      <c r="Z84">
        <v>6</v>
      </c>
      <c r="AA84">
        <v>325.10000000000002</v>
      </c>
      <c r="AB84">
        <v>130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325.09902069999998</v>
      </c>
      <c r="AR84">
        <v>0</v>
      </c>
      <c r="AS84">
        <f>_xlfn.XLOOKUP(B84,InstallDate!$H$2:$H$389,InstallDate!$BE$2:$BE$389)</f>
        <v>1</v>
      </c>
      <c r="AT84">
        <f t="shared" si="9"/>
        <v>1</v>
      </c>
      <c r="AU84">
        <f t="shared" si="7"/>
        <v>0</v>
      </c>
      <c r="AV84">
        <f t="shared" si="10"/>
        <v>0</v>
      </c>
      <c r="AW84">
        <f t="shared" si="11"/>
        <v>0</v>
      </c>
      <c r="AX84">
        <f t="shared" si="12"/>
        <v>0</v>
      </c>
      <c r="AY84">
        <f t="shared" si="13"/>
        <v>1</v>
      </c>
      <c r="AZ84">
        <f t="shared" si="8"/>
        <v>2</v>
      </c>
    </row>
    <row r="85" spans="1:52" x14ac:dyDescent="0.2">
      <c r="A85">
        <v>84</v>
      </c>
      <c r="B85" t="s">
        <v>128</v>
      </c>
      <c r="C85">
        <v>0</v>
      </c>
      <c r="H85" t="s">
        <v>128</v>
      </c>
      <c r="I85" t="s">
        <v>45</v>
      </c>
      <c r="Q85" t="s">
        <v>128</v>
      </c>
      <c r="R85">
        <v>473.27614069999998</v>
      </c>
      <c r="S85">
        <v>6</v>
      </c>
      <c r="T85">
        <v>130</v>
      </c>
      <c r="V85">
        <v>0</v>
      </c>
      <c r="W85">
        <v>0</v>
      </c>
      <c r="X85" t="s">
        <v>128</v>
      </c>
      <c r="Y85">
        <v>0</v>
      </c>
      <c r="Z85">
        <v>6</v>
      </c>
      <c r="AA85">
        <v>473.28</v>
      </c>
      <c r="AB85">
        <v>130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473.27614069999998</v>
      </c>
      <c r="AR85">
        <v>0</v>
      </c>
      <c r="AS85">
        <f>_xlfn.XLOOKUP(B85,InstallDate!$H$2:$H$389,InstallDate!$BE$2:$BE$389)</f>
        <v>0</v>
      </c>
      <c r="AT85">
        <f t="shared" si="9"/>
        <v>0</v>
      </c>
      <c r="AU85">
        <f t="shared" si="7"/>
        <v>0</v>
      </c>
      <c r="AV85">
        <f t="shared" si="10"/>
        <v>0</v>
      </c>
      <c r="AW85">
        <f t="shared" si="11"/>
        <v>0</v>
      </c>
      <c r="AX85">
        <f t="shared" si="12"/>
        <v>0</v>
      </c>
      <c r="AY85">
        <f t="shared" si="13"/>
        <v>1</v>
      </c>
      <c r="AZ85">
        <f t="shared" si="8"/>
        <v>1</v>
      </c>
    </row>
    <row r="86" spans="1:52" x14ac:dyDescent="0.2">
      <c r="A86">
        <v>85</v>
      </c>
      <c r="B86" t="s">
        <v>129</v>
      </c>
      <c r="C86">
        <v>0</v>
      </c>
      <c r="H86" t="s">
        <v>129</v>
      </c>
      <c r="I86" t="s">
        <v>45</v>
      </c>
      <c r="Q86" t="s">
        <v>129</v>
      </c>
      <c r="R86">
        <v>34.702424139999998</v>
      </c>
      <c r="S86">
        <v>6</v>
      </c>
      <c r="T86">
        <v>130</v>
      </c>
      <c r="V86">
        <v>0</v>
      </c>
      <c r="W86">
        <v>0</v>
      </c>
      <c r="X86" t="s">
        <v>129</v>
      </c>
      <c r="Y86">
        <v>0</v>
      </c>
      <c r="Z86">
        <v>6</v>
      </c>
      <c r="AA86">
        <v>34.700000000000003</v>
      </c>
      <c r="AB86">
        <v>130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34.702424139999998</v>
      </c>
      <c r="AR86">
        <v>0</v>
      </c>
      <c r="AS86">
        <f>_xlfn.XLOOKUP(B86,InstallDate!$H$2:$H$389,InstallDate!$BE$2:$BE$389)</f>
        <v>1</v>
      </c>
      <c r="AT86">
        <f t="shared" si="9"/>
        <v>1</v>
      </c>
      <c r="AU86">
        <f t="shared" si="7"/>
        <v>0</v>
      </c>
      <c r="AV86">
        <f t="shared" si="10"/>
        <v>0</v>
      </c>
      <c r="AW86">
        <f t="shared" si="11"/>
        <v>0</v>
      </c>
      <c r="AX86">
        <f t="shared" si="12"/>
        <v>0</v>
      </c>
      <c r="AY86">
        <f t="shared" si="13"/>
        <v>1</v>
      </c>
      <c r="AZ86">
        <f t="shared" si="8"/>
        <v>2</v>
      </c>
    </row>
    <row r="87" spans="1:52" x14ac:dyDescent="0.2">
      <c r="A87">
        <v>86</v>
      </c>
      <c r="B87" t="s">
        <v>130</v>
      </c>
      <c r="C87">
        <v>0</v>
      </c>
      <c r="H87" t="s">
        <v>130</v>
      </c>
      <c r="I87" t="s">
        <v>45</v>
      </c>
      <c r="Q87" t="s">
        <v>130</v>
      </c>
      <c r="R87">
        <v>43.35433828</v>
      </c>
      <c r="S87">
        <v>6</v>
      </c>
      <c r="T87">
        <v>130</v>
      </c>
      <c r="V87">
        <v>0</v>
      </c>
      <c r="W87">
        <v>0</v>
      </c>
      <c r="X87" t="s">
        <v>130</v>
      </c>
      <c r="Y87">
        <v>0</v>
      </c>
      <c r="Z87">
        <v>6</v>
      </c>
      <c r="AA87">
        <v>43.35</v>
      </c>
      <c r="AB87">
        <v>130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43.35433828</v>
      </c>
      <c r="AR87">
        <v>0</v>
      </c>
      <c r="AS87">
        <f>_xlfn.XLOOKUP(B87,InstallDate!$H$2:$H$389,InstallDate!$BE$2:$BE$389)</f>
        <v>0</v>
      </c>
      <c r="AT87">
        <f t="shared" si="9"/>
        <v>0</v>
      </c>
      <c r="AU87">
        <f t="shared" si="7"/>
        <v>0</v>
      </c>
      <c r="AV87">
        <f t="shared" si="10"/>
        <v>0</v>
      </c>
      <c r="AW87">
        <f t="shared" si="11"/>
        <v>0</v>
      </c>
      <c r="AX87">
        <f t="shared" si="12"/>
        <v>0</v>
      </c>
      <c r="AY87">
        <f t="shared" si="13"/>
        <v>1</v>
      </c>
      <c r="AZ87">
        <f t="shared" si="8"/>
        <v>1</v>
      </c>
    </row>
    <row r="88" spans="1:52" x14ac:dyDescent="0.2">
      <c r="A88">
        <v>87</v>
      </c>
      <c r="B88" t="s">
        <v>131</v>
      </c>
      <c r="C88">
        <v>0</v>
      </c>
      <c r="H88" t="s">
        <v>131</v>
      </c>
      <c r="I88" t="s">
        <v>45</v>
      </c>
      <c r="Q88" t="s">
        <v>131</v>
      </c>
      <c r="R88">
        <v>27.104554490000002</v>
      </c>
      <c r="S88">
        <v>6</v>
      </c>
      <c r="T88">
        <v>130</v>
      </c>
      <c r="V88">
        <v>0</v>
      </c>
      <c r="W88">
        <v>0</v>
      </c>
      <c r="X88" t="s">
        <v>131</v>
      </c>
      <c r="Y88">
        <v>0</v>
      </c>
      <c r="Z88">
        <v>6</v>
      </c>
      <c r="AA88">
        <v>27.1</v>
      </c>
      <c r="AB88">
        <v>130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27.104554490000002</v>
      </c>
      <c r="AR88">
        <v>0</v>
      </c>
      <c r="AS88">
        <f>_xlfn.XLOOKUP(B88,InstallDate!$H$2:$H$389,InstallDate!$BE$2:$BE$389)</f>
        <v>0</v>
      </c>
      <c r="AT88">
        <f t="shared" si="9"/>
        <v>0</v>
      </c>
      <c r="AU88">
        <f t="shared" si="7"/>
        <v>0</v>
      </c>
      <c r="AV88">
        <f t="shared" si="10"/>
        <v>0</v>
      </c>
      <c r="AW88">
        <f t="shared" si="11"/>
        <v>0</v>
      </c>
      <c r="AX88">
        <f t="shared" si="12"/>
        <v>0</v>
      </c>
      <c r="AY88">
        <f t="shared" si="13"/>
        <v>1</v>
      </c>
      <c r="AZ88">
        <f t="shared" si="8"/>
        <v>1</v>
      </c>
    </row>
    <row r="89" spans="1:52" x14ac:dyDescent="0.2">
      <c r="A89">
        <v>88</v>
      </c>
      <c r="B89" t="s">
        <v>132</v>
      </c>
      <c r="C89">
        <v>0</v>
      </c>
      <c r="H89" t="s">
        <v>132</v>
      </c>
      <c r="I89" t="s">
        <v>45</v>
      </c>
      <c r="Q89" t="s">
        <v>132</v>
      </c>
      <c r="R89">
        <v>35.897948990000003</v>
      </c>
      <c r="S89">
        <v>6</v>
      </c>
      <c r="T89">
        <v>130</v>
      </c>
      <c r="V89">
        <v>0</v>
      </c>
      <c r="W89">
        <v>0</v>
      </c>
      <c r="X89" t="s">
        <v>132</v>
      </c>
      <c r="Y89">
        <v>0</v>
      </c>
      <c r="Z89">
        <v>6</v>
      </c>
      <c r="AA89">
        <v>35.9</v>
      </c>
      <c r="AB89">
        <v>130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35.897948990000003</v>
      </c>
      <c r="AR89">
        <v>0</v>
      </c>
      <c r="AS89">
        <f>_xlfn.XLOOKUP(B89,InstallDate!$H$2:$H$389,InstallDate!$BE$2:$BE$389)</f>
        <v>0</v>
      </c>
      <c r="AT89">
        <f t="shared" si="9"/>
        <v>0</v>
      </c>
      <c r="AU89">
        <f t="shared" si="7"/>
        <v>0</v>
      </c>
      <c r="AV89">
        <f t="shared" si="10"/>
        <v>0</v>
      </c>
      <c r="AW89">
        <f t="shared" si="11"/>
        <v>0</v>
      </c>
      <c r="AX89">
        <f t="shared" si="12"/>
        <v>0</v>
      </c>
      <c r="AY89">
        <f t="shared" si="13"/>
        <v>1</v>
      </c>
      <c r="AZ89">
        <f t="shared" si="8"/>
        <v>1</v>
      </c>
    </row>
    <row r="90" spans="1:52" x14ac:dyDescent="0.2">
      <c r="A90">
        <v>89</v>
      </c>
      <c r="B90" t="s">
        <v>133</v>
      </c>
      <c r="C90">
        <v>0</v>
      </c>
      <c r="H90" t="s">
        <v>133</v>
      </c>
      <c r="I90" t="s">
        <v>45</v>
      </c>
      <c r="Q90" t="s">
        <v>133</v>
      </c>
      <c r="R90">
        <v>325.8193617</v>
      </c>
      <c r="S90">
        <v>6</v>
      </c>
      <c r="T90">
        <v>130</v>
      </c>
      <c r="V90">
        <v>0</v>
      </c>
      <c r="W90">
        <v>0</v>
      </c>
      <c r="X90" t="s">
        <v>133</v>
      </c>
      <c r="Y90">
        <v>0</v>
      </c>
      <c r="Z90">
        <v>6</v>
      </c>
      <c r="AA90">
        <v>325.82</v>
      </c>
      <c r="AB90">
        <v>130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325.8193617</v>
      </c>
      <c r="AR90">
        <v>0</v>
      </c>
      <c r="AS90">
        <f>_xlfn.XLOOKUP(B90,InstallDate!$H$2:$H$389,InstallDate!$BE$2:$BE$389)</f>
        <v>0</v>
      </c>
      <c r="AT90">
        <f t="shared" si="9"/>
        <v>0</v>
      </c>
      <c r="AU90">
        <f t="shared" si="7"/>
        <v>0</v>
      </c>
      <c r="AV90">
        <f t="shared" si="10"/>
        <v>0</v>
      </c>
      <c r="AW90">
        <f t="shared" si="11"/>
        <v>0</v>
      </c>
      <c r="AX90">
        <f t="shared" si="12"/>
        <v>0</v>
      </c>
      <c r="AY90">
        <f t="shared" si="13"/>
        <v>1</v>
      </c>
      <c r="AZ90">
        <f t="shared" si="8"/>
        <v>1</v>
      </c>
    </row>
    <row r="91" spans="1:52" x14ac:dyDescent="0.2">
      <c r="A91">
        <v>90</v>
      </c>
      <c r="B91" t="s">
        <v>134</v>
      </c>
      <c r="C91">
        <v>0</v>
      </c>
      <c r="H91" t="s">
        <v>134</v>
      </c>
      <c r="I91" t="s">
        <v>45</v>
      </c>
      <c r="Q91" t="s">
        <v>134</v>
      </c>
      <c r="R91">
        <v>41.488046539999999</v>
      </c>
      <c r="S91">
        <v>6</v>
      </c>
      <c r="T91">
        <v>130</v>
      </c>
      <c r="V91">
        <v>0</v>
      </c>
      <c r="W91">
        <v>0</v>
      </c>
      <c r="X91" t="s">
        <v>134</v>
      </c>
      <c r="Y91">
        <v>0</v>
      </c>
      <c r="Z91">
        <v>6</v>
      </c>
      <c r="AA91">
        <v>41.49</v>
      </c>
      <c r="AB91">
        <v>130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41.488046539999999</v>
      </c>
      <c r="AR91">
        <v>0</v>
      </c>
      <c r="AS91">
        <f>_xlfn.XLOOKUP(B91,InstallDate!$H$2:$H$389,InstallDate!$BE$2:$BE$389)</f>
        <v>1</v>
      </c>
      <c r="AT91">
        <f t="shared" si="9"/>
        <v>1</v>
      </c>
      <c r="AU91">
        <f t="shared" si="7"/>
        <v>0</v>
      </c>
      <c r="AV91">
        <f t="shared" si="10"/>
        <v>0</v>
      </c>
      <c r="AW91">
        <f t="shared" si="11"/>
        <v>0</v>
      </c>
      <c r="AX91">
        <f t="shared" si="12"/>
        <v>0</v>
      </c>
      <c r="AY91">
        <f t="shared" si="13"/>
        <v>1</v>
      </c>
      <c r="AZ91">
        <f t="shared" si="8"/>
        <v>2</v>
      </c>
    </row>
    <row r="92" spans="1:52" x14ac:dyDescent="0.2">
      <c r="A92">
        <v>91</v>
      </c>
      <c r="B92" t="s">
        <v>135</v>
      </c>
      <c r="C92">
        <v>0</v>
      </c>
      <c r="H92" t="s">
        <v>135</v>
      </c>
      <c r="I92" t="s">
        <v>45</v>
      </c>
      <c r="Q92" t="s">
        <v>135</v>
      </c>
      <c r="R92">
        <v>40.524243179999999</v>
      </c>
      <c r="S92">
        <v>6</v>
      </c>
      <c r="T92">
        <v>130</v>
      </c>
      <c r="V92">
        <v>0</v>
      </c>
      <c r="W92">
        <v>0</v>
      </c>
      <c r="X92" t="s">
        <v>135</v>
      </c>
      <c r="Y92">
        <v>0</v>
      </c>
      <c r="Z92">
        <v>6</v>
      </c>
      <c r="AA92">
        <v>40.520000000000003</v>
      </c>
      <c r="AB92">
        <v>130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40.524243179999999</v>
      </c>
      <c r="AR92">
        <v>0</v>
      </c>
      <c r="AS92">
        <f>_xlfn.XLOOKUP(B92,InstallDate!$H$2:$H$389,InstallDate!$BE$2:$BE$389)</f>
        <v>1</v>
      </c>
      <c r="AT92">
        <f t="shared" si="9"/>
        <v>1</v>
      </c>
      <c r="AU92">
        <f t="shared" si="7"/>
        <v>0</v>
      </c>
      <c r="AV92">
        <f t="shared" si="10"/>
        <v>0</v>
      </c>
      <c r="AW92">
        <f t="shared" si="11"/>
        <v>0</v>
      </c>
      <c r="AX92">
        <f t="shared" si="12"/>
        <v>0</v>
      </c>
      <c r="AY92">
        <f t="shared" si="13"/>
        <v>1</v>
      </c>
      <c r="AZ92">
        <f t="shared" si="8"/>
        <v>2</v>
      </c>
    </row>
    <row r="93" spans="1:52" x14ac:dyDescent="0.2">
      <c r="A93">
        <v>92</v>
      </c>
      <c r="B93" t="s">
        <v>136</v>
      </c>
      <c r="C93">
        <v>0</v>
      </c>
      <c r="H93" t="s">
        <v>136</v>
      </c>
      <c r="I93" t="s">
        <v>45</v>
      </c>
      <c r="Q93" t="s">
        <v>136</v>
      </c>
      <c r="R93">
        <v>25.763198110000001</v>
      </c>
      <c r="S93">
        <v>6</v>
      </c>
      <c r="T93">
        <v>130</v>
      </c>
      <c r="V93">
        <v>0</v>
      </c>
      <c r="W93">
        <v>0</v>
      </c>
      <c r="X93" t="s">
        <v>136</v>
      </c>
      <c r="Y93">
        <v>0</v>
      </c>
      <c r="Z93">
        <v>6</v>
      </c>
      <c r="AA93">
        <v>25.76</v>
      </c>
      <c r="AB93">
        <v>130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25.763198110000001</v>
      </c>
      <c r="AR93">
        <v>0</v>
      </c>
      <c r="AS93">
        <f>_xlfn.XLOOKUP(B93,InstallDate!$H$2:$H$389,InstallDate!$BE$2:$BE$389)</f>
        <v>0</v>
      </c>
      <c r="AT93">
        <f t="shared" si="9"/>
        <v>0</v>
      </c>
      <c r="AU93">
        <f t="shared" si="7"/>
        <v>0</v>
      </c>
      <c r="AV93">
        <f t="shared" si="10"/>
        <v>0</v>
      </c>
      <c r="AW93">
        <f t="shared" si="11"/>
        <v>0</v>
      </c>
      <c r="AX93">
        <f t="shared" si="12"/>
        <v>0</v>
      </c>
      <c r="AY93">
        <f t="shared" si="13"/>
        <v>1</v>
      </c>
      <c r="AZ93">
        <f t="shared" si="8"/>
        <v>1</v>
      </c>
    </row>
    <row r="94" spans="1:52" x14ac:dyDescent="0.2">
      <c r="A94">
        <v>93</v>
      </c>
      <c r="B94" t="s">
        <v>137</v>
      </c>
      <c r="C94">
        <v>0</v>
      </c>
      <c r="H94" t="s">
        <v>137</v>
      </c>
      <c r="I94" t="s">
        <v>45</v>
      </c>
      <c r="Q94" t="s">
        <v>137</v>
      </c>
      <c r="R94">
        <v>22.387833350000001</v>
      </c>
      <c r="S94">
        <v>6</v>
      </c>
      <c r="T94">
        <v>130</v>
      </c>
      <c r="V94">
        <v>0</v>
      </c>
      <c r="W94">
        <v>0</v>
      </c>
      <c r="X94" t="s">
        <v>137</v>
      </c>
      <c r="Y94">
        <v>0</v>
      </c>
      <c r="Z94">
        <v>6</v>
      </c>
      <c r="AA94">
        <v>22.39</v>
      </c>
      <c r="AB94">
        <v>130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22.387833350000001</v>
      </c>
      <c r="AR94">
        <v>0</v>
      </c>
      <c r="AS94">
        <f>_xlfn.XLOOKUP(B94,InstallDate!$H$2:$H$389,InstallDate!$BE$2:$BE$389)</f>
        <v>1</v>
      </c>
      <c r="AT94">
        <f t="shared" si="9"/>
        <v>1</v>
      </c>
      <c r="AU94">
        <f t="shared" si="7"/>
        <v>0</v>
      </c>
      <c r="AV94">
        <f t="shared" si="10"/>
        <v>0</v>
      </c>
      <c r="AW94">
        <f t="shared" si="11"/>
        <v>0</v>
      </c>
      <c r="AX94">
        <f t="shared" si="12"/>
        <v>0</v>
      </c>
      <c r="AY94">
        <f t="shared" si="13"/>
        <v>1</v>
      </c>
      <c r="AZ94">
        <f t="shared" si="8"/>
        <v>2</v>
      </c>
    </row>
    <row r="95" spans="1:52" x14ac:dyDescent="0.2">
      <c r="A95">
        <v>94</v>
      </c>
      <c r="B95" t="s">
        <v>138</v>
      </c>
      <c r="C95">
        <v>0</v>
      </c>
      <c r="H95" t="s">
        <v>138</v>
      </c>
      <c r="I95" t="s">
        <v>45</v>
      </c>
      <c r="Q95" t="s">
        <v>138</v>
      </c>
      <c r="R95">
        <v>81.201526569999999</v>
      </c>
      <c r="S95">
        <v>6</v>
      </c>
      <c r="T95">
        <v>130</v>
      </c>
      <c r="V95">
        <v>0</v>
      </c>
      <c r="W95">
        <v>0</v>
      </c>
      <c r="X95" t="s">
        <v>138</v>
      </c>
      <c r="Y95">
        <v>0</v>
      </c>
      <c r="Z95">
        <v>6</v>
      </c>
      <c r="AA95">
        <v>81.2</v>
      </c>
      <c r="AB95">
        <v>130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81.201526569999999</v>
      </c>
      <c r="AR95">
        <v>0</v>
      </c>
      <c r="AS95">
        <f>_xlfn.XLOOKUP(B95,InstallDate!$H$2:$H$389,InstallDate!$BE$2:$BE$389)</f>
        <v>1</v>
      </c>
      <c r="AT95">
        <f t="shared" si="9"/>
        <v>1</v>
      </c>
      <c r="AU95">
        <f t="shared" si="7"/>
        <v>0</v>
      </c>
      <c r="AV95">
        <f t="shared" si="10"/>
        <v>0</v>
      </c>
      <c r="AW95">
        <f t="shared" si="11"/>
        <v>0</v>
      </c>
      <c r="AX95">
        <f t="shared" si="12"/>
        <v>0</v>
      </c>
      <c r="AY95">
        <f t="shared" si="13"/>
        <v>1</v>
      </c>
      <c r="AZ95">
        <f t="shared" si="8"/>
        <v>2</v>
      </c>
    </row>
    <row r="96" spans="1:52" x14ac:dyDescent="0.2">
      <c r="A96">
        <v>95</v>
      </c>
      <c r="B96" t="s">
        <v>139</v>
      </c>
      <c r="C96">
        <v>0</v>
      </c>
      <c r="H96" t="s">
        <v>139</v>
      </c>
      <c r="I96" t="s">
        <v>45</v>
      </c>
      <c r="Q96" t="s">
        <v>139</v>
      </c>
      <c r="R96">
        <v>90.288957490000001</v>
      </c>
      <c r="S96">
        <v>6</v>
      </c>
      <c r="T96">
        <v>130</v>
      </c>
      <c r="V96">
        <v>0</v>
      </c>
      <c r="W96">
        <v>0</v>
      </c>
      <c r="X96" t="s">
        <v>139</v>
      </c>
      <c r="Y96">
        <v>0</v>
      </c>
      <c r="Z96">
        <v>6</v>
      </c>
      <c r="AA96">
        <v>90.29</v>
      </c>
      <c r="AB96">
        <v>130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90.288957490000001</v>
      </c>
      <c r="AR96">
        <v>0</v>
      </c>
      <c r="AS96">
        <f>_xlfn.XLOOKUP(B96,InstallDate!$H$2:$H$389,InstallDate!$BE$2:$BE$389)</f>
        <v>1</v>
      </c>
      <c r="AT96">
        <f t="shared" si="9"/>
        <v>1</v>
      </c>
      <c r="AU96">
        <f t="shared" si="7"/>
        <v>0</v>
      </c>
      <c r="AV96">
        <f t="shared" si="10"/>
        <v>0</v>
      </c>
      <c r="AW96">
        <f t="shared" si="11"/>
        <v>0</v>
      </c>
      <c r="AX96">
        <f t="shared" si="12"/>
        <v>0</v>
      </c>
      <c r="AY96">
        <f t="shared" si="13"/>
        <v>1</v>
      </c>
      <c r="AZ96">
        <f t="shared" si="8"/>
        <v>2</v>
      </c>
    </row>
    <row r="97" spans="1:52" x14ac:dyDescent="0.2">
      <c r="A97">
        <v>96</v>
      </c>
      <c r="B97" t="s">
        <v>140</v>
      </c>
      <c r="C97">
        <v>0</v>
      </c>
      <c r="H97" t="s">
        <v>140</v>
      </c>
      <c r="I97" t="s">
        <v>141</v>
      </c>
      <c r="Q97" t="s">
        <v>140</v>
      </c>
      <c r="R97">
        <v>71.082154389999999</v>
      </c>
      <c r="S97">
        <v>2</v>
      </c>
      <c r="T97">
        <v>130</v>
      </c>
      <c r="V97">
        <v>0</v>
      </c>
      <c r="W97">
        <v>0</v>
      </c>
      <c r="X97" t="s">
        <v>140</v>
      </c>
      <c r="Y97">
        <v>0</v>
      </c>
      <c r="Z97">
        <v>2</v>
      </c>
      <c r="AA97">
        <v>71.08</v>
      </c>
      <c r="AB97">
        <v>130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71.082154389999999</v>
      </c>
      <c r="AR97">
        <v>0</v>
      </c>
      <c r="AS97">
        <f>_xlfn.XLOOKUP(B97,InstallDate!$H$2:$H$389,InstallDate!$BE$2:$BE$389)</f>
        <v>0</v>
      </c>
      <c r="AT97">
        <f t="shared" si="9"/>
        <v>0</v>
      </c>
      <c r="AU97">
        <f t="shared" si="7"/>
        <v>0</v>
      </c>
      <c r="AV97">
        <f t="shared" si="10"/>
        <v>0</v>
      </c>
      <c r="AW97">
        <f t="shared" si="11"/>
        <v>0</v>
      </c>
      <c r="AX97">
        <f t="shared" si="12"/>
        <v>0</v>
      </c>
      <c r="AY97">
        <f t="shared" si="13"/>
        <v>1</v>
      </c>
      <c r="AZ97">
        <f t="shared" si="8"/>
        <v>1</v>
      </c>
    </row>
    <row r="98" spans="1:52" x14ac:dyDescent="0.2">
      <c r="A98">
        <v>97</v>
      </c>
      <c r="B98" t="s">
        <v>142</v>
      </c>
      <c r="C98">
        <v>0</v>
      </c>
      <c r="H98" t="s">
        <v>142</v>
      </c>
      <c r="I98" t="s">
        <v>141</v>
      </c>
      <c r="Q98" t="s">
        <v>142</v>
      </c>
      <c r="R98">
        <v>1160.569745</v>
      </c>
      <c r="S98">
        <v>2</v>
      </c>
      <c r="T98">
        <v>130</v>
      </c>
      <c r="V98">
        <v>0</v>
      </c>
      <c r="W98">
        <v>0</v>
      </c>
      <c r="X98" t="s">
        <v>142</v>
      </c>
      <c r="Y98">
        <v>0</v>
      </c>
      <c r="Z98">
        <v>2</v>
      </c>
      <c r="AA98">
        <v>1160.57</v>
      </c>
      <c r="AB98">
        <v>130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1160.569745</v>
      </c>
      <c r="AR98">
        <v>0</v>
      </c>
      <c r="AS98">
        <f>_xlfn.XLOOKUP(B98,InstallDate!$H$2:$H$389,InstallDate!$BE$2:$BE$389)</f>
        <v>0</v>
      </c>
      <c r="AT98">
        <f t="shared" si="9"/>
        <v>0</v>
      </c>
      <c r="AU98">
        <f t="shared" si="7"/>
        <v>0</v>
      </c>
      <c r="AV98">
        <f t="shared" si="10"/>
        <v>0</v>
      </c>
      <c r="AW98">
        <f t="shared" si="11"/>
        <v>0</v>
      </c>
      <c r="AX98">
        <f t="shared" si="12"/>
        <v>0</v>
      </c>
      <c r="AY98">
        <f t="shared" si="13"/>
        <v>1</v>
      </c>
      <c r="AZ98">
        <f t="shared" si="8"/>
        <v>1</v>
      </c>
    </row>
    <row r="99" spans="1:52" x14ac:dyDescent="0.2">
      <c r="A99">
        <v>98</v>
      </c>
      <c r="B99" t="s">
        <v>143</v>
      </c>
      <c r="C99">
        <v>0</v>
      </c>
      <c r="H99" t="s">
        <v>143</v>
      </c>
      <c r="I99" t="s">
        <v>141</v>
      </c>
      <c r="Q99" t="s">
        <v>143</v>
      </c>
      <c r="R99">
        <v>29.114712879999999</v>
      </c>
      <c r="S99">
        <v>2</v>
      </c>
      <c r="T99">
        <v>130</v>
      </c>
      <c r="V99">
        <v>0</v>
      </c>
      <c r="W99">
        <v>0</v>
      </c>
      <c r="X99" t="s">
        <v>143</v>
      </c>
      <c r="Y99">
        <v>0</v>
      </c>
      <c r="Z99">
        <v>2</v>
      </c>
      <c r="AA99">
        <v>29.11</v>
      </c>
      <c r="AB99">
        <v>130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29.114712879999999</v>
      </c>
      <c r="AR99">
        <v>0</v>
      </c>
      <c r="AS99">
        <f>_xlfn.XLOOKUP(B99,InstallDate!$H$2:$H$389,InstallDate!$BE$2:$BE$389)</f>
        <v>0</v>
      </c>
      <c r="AT99">
        <f t="shared" si="9"/>
        <v>0</v>
      </c>
      <c r="AU99">
        <f t="shared" si="7"/>
        <v>0</v>
      </c>
      <c r="AV99">
        <f t="shared" si="10"/>
        <v>0</v>
      </c>
      <c r="AW99">
        <f t="shared" si="11"/>
        <v>0</v>
      </c>
      <c r="AX99">
        <f t="shared" si="12"/>
        <v>0</v>
      </c>
      <c r="AY99">
        <f t="shared" si="13"/>
        <v>1</v>
      </c>
      <c r="AZ99">
        <f t="shared" si="8"/>
        <v>1</v>
      </c>
    </row>
    <row r="100" spans="1:52" x14ac:dyDescent="0.2">
      <c r="A100">
        <v>99</v>
      </c>
      <c r="B100" t="s">
        <v>144</v>
      </c>
      <c r="C100">
        <v>0</v>
      </c>
      <c r="H100" t="s">
        <v>144</v>
      </c>
      <c r="I100" t="s">
        <v>45</v>
      </c>
      <c r="Q100" t="s">
        <v>144</v>
      </c>
      <c r="R100">
        <v>166.40582090000001</v>
      </c>
      <c r="S100">
        <v>6</v>
      </c>
      <c r="T100">
        <v>130</v>
      </c>
      <c r="V100">
        <v>0</v>
      </c>
      <c r="W100">
        <v>0</v>
      </c>
      <c r="X100" t="s">
        <v>144</v>
      </c>
      <c r="Y100">
        <v>1</v>
      </c>
      <c r="Z100">
        <v>6</v>
      </c>
      <c r="AA100">
        <v>166.41</v>
      </c>
      <c r="AB100">
        <v>130</v>
      </c>
      <c r="AC100">
        <v>1.39</v>
      </c>
      <c r="AD100">
        <v>0.02</v>
      </c>
      <c r="AE100">
        <v>0</v>
      </c>
      <c r="AF100">
        <v>0</v>
      </c>
      <c r="AG100">
        <v>1</v>
      </c>
      <c r="AH100">
        <v>1.39</v>
      </c>
      <c r="AI100">
        <v>1.39</v>
      </c>
      <c r="AJ100">
        <v>1.39</v>
      </c>
      <c r="AK100">
        <v>0.02</v>
      </c>
      <c r="AL100">
        <v>0.02</v>
      </c>
      <c r="AM100">
        <v>0.02</v>
      </c>
      <c r="AN100">
        <v>0</v>
      </c>
      <c r="AO100">
        <v>0</v>
      </c>
      <c r="AP100">
        <v>0</v>
      </c>
      <c r="AQ100">
        <v>166.40582090000001</v>
      </c>
      <c r="AR100">
        <v>0</v>
      </c>
      <c r="AS100">
        <f>_xlfn.XLOOKUP(B100,InstallDate!$H$2:$H$389,InstallDate!$BE$2:$BE$389)</f>
        <v>0</v>
      </c>
      <c r="AT100">
        <f t="shared" si="9"/>
        <v>0</v>
      </c>
      <c r="AU100">
        <f t="shared" si="7"/>
        <v>1.1161969003452982E-2</v>
      </c>
      <c r="AV100">
        <f t="shared" si="10"/>
        <v>0</v>
      </c>
      <c r="AW100">
        <f t="shared" si="11"/>
        <v>0</v>
      </c>
      <c r="AX100">
        <f t="shared" si="12"/>
        <v>0</v>
      </c>
      <c r="AY100">
        <f t="shared" si="13"/>
        <v>1</v>
      </c>
      <c r="AZ100">
        <f t="shared" si="8"/>
        <v>1</v>
      </c>
    </row>
    <row r="101" spans="1:52" x14ac:dyDescent="0.2">
      <c r="A101">
        <v>100</v>
      </c>
      <c r="B101" t="s">
        <v>145</v>
      </c>
      <c r="C101">
        <v>0</v>
      </c>
      <c r="H101" t="s">
        <v>145</v>
      </c>
      <c r="I101" t="s">
        <v>146</v>
      </c>
      <c r="Q101" t="s">
        <v>145</v>
      </c>
      <c r="R101">
        <v>1773.483782</v>
      </c>
      <c r="S101">
        <v>12</v>
      </c>
      <c r="T101">
        <v>130</v>
      </c>
      <c r="V101">
        <v>0</v>
      </c>
      <c r="W101">
        <v>0</v>
      </c>
      <c r="X101" t="s">
        <v>145</v>
      </c>
      <c r="Y101">
        <v>-1</v>
      </c>
      <c r="Z101">
        <v>12</v>
      </c>
      <c r="AA101">
        <v>1773.48</v>
      </c>
      <c r="AB101">
        <v>130</v>
      </c>
      <c r="AC101">
        <v>15.71</v>
      </c>
      <c r="AD101">
        <v>0.04</v>
      </c>
      <c r="AE101">
        <v>0</v>
      </c>
      <c r="AF101">
        <v>0</v>
      </c>
      <c r="AG101">
        <v>1</v>
      </c>
      <c r="AH101">
        <v>15.71</v>
      </c>
      <c r="AI101">
        <v>15.71</v>
      </c>
      <c r="AJ101">
        <v>15.71</v>
      </c>
      <c r="AK101">
        <v>0.04</v>
      </c>
      <c r="AL101">
        <v>0.04</v>
      </c>
      <c r="AM101">
        <v>0.04</v>
      </c>
      <c r="AN101">
        <v>0</v>
      </c>
      <c r="AO101">
        <v>0</v>
      </c>
      <c r="AP101">
        <v>0</v>
      </c>
      <c r="AQ101">
        <v>1773.483782</v>
      </c>
      <c r="AR101">
        <v>0</v>
      </c>
      <c r="AS101">
        <f>_xlfn.XLOOKUP(B101,InstallDate!$H$2:$H$389,InstallDate!$BE$2:$BE$389)</f>
        <v>0</v>
      </c>
      <c r="AT101">
        <f t="shared" si="9"/>
        <v>0</v>
      </c>
      <c r="AU101">
        <f t="shared" si="7"/>
        <v>0.12615434031960171</v>
      </c>
      <c r="AV101">
        <f t="shared" si="10"/>
        <v>0</v>
      </c>
      <c r="AW101">
        <f t="shared" si="11"/>
        <v>0</v>
      </c>
      <c r="AX101">
        <f t="shared" si="12"/>
        <v>2</v>
      </c>
      <c r="AY101">
        <f t="shared" si="13"/>
        <v>0</v>
      </c>
      <c r="AZ101">
        <f t="shared" si="8"/>
        <v>2</v>
      </c>
    </row>
    <row r="102" spans="1:52" x14ac:dyDescent="0.2">
      <c r="A102">
        <v>101</v>
      </c>
      <c r="B102" t="s">
        <v>147</v>
      </c>
      <c r="C102">
        <v>0</v>
      </c>
      <c r="H102" t="s">
        <v>147</v>
      </c>
      <c r="I102" t="s">
        <v>148</v>
      </c>
      <c r="Q102" t="s">
        <v>147</v>
      </c>
      <c r="R102">
        <v>15.90713349</v>
      </c>
      <c r="S102">
        <v>6</v>
      </c>
      <c r="T102">
        <v>130</v>
      </c>
      <c r="V102">
        <v>0</v>
      </c>
      <c r="W102">
        <v>0</v>
      </c>
      <c r="X102" t="s">
        <v>147</v>
      </c>
      <c r="Y102">
        <v>1</v>
      </c>
      <c r="Z102">
        <v>6</v>
      </c>
      <c r="AA102">
        <v>15.91</v>
      </c>
      <c r="AB102">
        <v>130</v>
      </c>
      <c r="AC102">
        <v>0.14000000000000001</v>
      </c>
      <c r="AD102">
        <v>0</v>
      </c>
      <c r="AE102">
        <v>0</v>
      </c>
      <c r="AF102">
        <v>0</v>
      </c>
      <c r="AG102">
        <v>1</v>
      </c>
      <c r="AH102">
        <v>0.14000000000000001</v>
      </c>
      <c r="AI102">
        <v>0.14000000000000001</v>
      </c>
      <c r="AJ102">
        <v>0.14000000000000001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15.90713349</v>
      </c>
      <c r="AR102">
        <v>0</v>
      </c>
      <c r="AS102">
        <f>_xlfn.XLOOKUP(B102,InstallDate!$H$2:$H$389,InstallDate!$BE$2:$BE$389)</f>
        <v>0</v>
      </c>
      <c r="AT102">
        <f t="shared" si="9"/>
        <v>0</v>
      </c>
      <c r="AU102">
        <f t="shared" si="7"/>
        <v>1.1242270938729624E-3</v>
      </c>
      <c r="AV102">
        <f t="shared" si="10"/>
        <v>0</v>
      </c>
      <c r="AW102">
        <f t="shared" si="11"/>
        <v>0</v>
      </c>
      <c r="AX102">
        <f t="shared" si="12"/>
        <v>0</v>
      </c>
      <c r="AY102">
        <f t="shared" si="13"/>
        <v>1</v>
      </c>
      <c r="AZ102">
        <f t="shared" si="8"/>
        <v>1</v>
      </c>
    </row>
    <row r="103" spans="1:52" x14ac:dyDescent="0.2">
      <c r="A103">
        <v>102</v>
      </c>
      <c r="B103" t="s">
        <v>149</v>
      </c>
      <c r="C103">
        <v>0</v>
      </c>
      <c r="H103" t="s">
        <v>149</v>
      </c>
      <c r="I103" t="s">
        <v>148</v>
      </c>
      <c r="Q103" t="s">
        <v>149</v>
      </c>
      <c r="R103">
        <v>219.2257774</v>
      </c>
      <c r="S103">
        <v>6</v>
      </c>
      <c r="T103">
        <v>130</v>
      </c>
      <c r="V103">
        <v>0</v>
      </c>
      <c r="W103">
        <v>0</v>
      </c>
      <c r="X103" t="s">
        <v>149</v>
      </c>
      <c r="Y103">
        <v>1</v>
      </c>
      <c r="Z103">
        <v>6</v>
      </c>
      <c r="AA103">
        <v>219.23</v>
      </c>
      <c r="AB103">
        <v>130</v>
      </c>
      <c r="AC103">
        <v>0.14000000000000001</v>
      </c>
      <c r="AD103">
        <v>0</v>
      </c>
      <c r="AE103">
        <v>0</v>
      </c>
      <c r="AF103">
        <v>0</v>
      </c>
      <c r="AG103">
        <v>1</v>
      </c>
      <c r="AH103">
        <v>0.14000000000000001</v>
      </c>
      <c r="AI103">
        <v>0.14000000000000001</v>
      </c>
      <c r="AJ103">
        <v>0.14000000000000001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219.2257774</v>
      </c>
      <c r="AR103">
        <v>0</v>
      </c>
      <c r="AS103">
        <f>_xlfn.XLOOKUP(B103,InstallDate!$H$2:$H$389,InstallDate!$BE$2:$BE$389)</f>
        <v>0</v>
      </c>
      <c r="AT103">
        <f t="shared" si="9"/>
        <v>0</v>
      </c>
      <c r="AU103">
        <f t="shared" si="7"/>
        <v>1.1242270938729624E-3</v>
      </c>
      <c r="AV103">
        <f t="shared" si="10"/>
        <v>0</v>
      </c>
      <c r="AW103">
        <f t="shared" si="11"/>
        <v>0</v>
      </c>
      <c r="AX103">
        <f t="shared" si="12"/>
        <v>0</v>
      </c>
      <c r="AY103">
        <f t="shared" si="13"/>
        <v>1</v>
      </c>
      <c r="AZ103">
        <f t="shared" si="8"/>
        <v>1</v>
      </c>
    </row>
    <row r="104" spans="1:52" x14ac:dyDescent="0.2">
      <c r="A104">
        <v>103</v>
      </c>
      <c r="B104" t="s">
        <v>150</v>
      </c>
      <c r="C104">
        <v>0</v>
      </c>
      <c r="H104" t="s">
        <v>150</v>
      </c>
      <c r="I104" t="s">
        <v>146</v>
      </c>
      <c r="Q104" t="s">
        <v>150</v>
      </c>
      <c r="R104">
        <v>130.0246617</v>
      </c>
      <c r="S104">
        <v>6</v>
      </c>
      <c r="T104">
        <v>130</v>
      </c>
      <c r="V104">
        <v>0</v>
      </c>
      <c r="W104">
        <v>0</v>
      </c>
      <c r="X104" t="s">
        <v>150</v>
      </c>
      <c r="Y104">
        <v>-1</v>
      </c>
      <c r="Z104">
        <v>6</v>
      </c>
      <c r="AA104">
        <v>130.02000000000001</v>
      </c>
      <c r="AB104">
        <v>130</v>
      </c>
      <c r="AC104">
        <v>8.8800000000000008</v>
      </c>
      <c r="AD104">
        <v>0.1</v>
      </c>
      <c r="AE104">
        <v>0</v>
      </c>
      <c r="AF104">
        <v>0.01</v>
      </c>
      <c r="AG104">
        <v>1</v>
      </c>
      <c r="AH104">
        <v>8.8800000000000008</v>
      </c>
      <c r="AI104">
        <v>8.8800000000000008</v>
      </c>
      <c r="AJ104">
        <v>8.8800000000000008</v>
      </c>
      <c r="AK104">
        <v>0.1</v>
      </c>
      <c r="AL104">
        <v>0.1</v>
      </c>
      <c r="AM104">
        <v>0.1</v>
      </c>
      <c r="AN104">
        <v>0</v>
      </c>
      <c r="AO104">
        <v>0</v>
      </c>
      <c r="AP104">
        <v>0</v>
      </c>
      <c r="AQ104">
        <v>130.0246617</v>
      </c>
      <c r="AR104">
        <v>0</v>
      </c>
      <c r="AS104">
        <f>_xlfn.XLOOKUP(B104,InstallDate!$H$2:$H$389,InstallDate!$BE$2:$BE$389)</f>
        <v>0</v>
      </c>
      <c r="AT104">
        <f t="shared" si="9"/>
        <v>0</v>
      </c>
      <c r="AU104">
        <f t="shared" si="7"/>
        <v>7.130811852565648E-2</v>
      </c>
      <c r="AV104">
        <f t="shared" si="10"/>
        <v>0</v>
      </c>
      <c r="AW104">
        <f t="shared" si="11"/>
        <v>0</v>
      </c>
      <c r="AX104">
        <f t="shared" si="12"/>
        <v>2</v>
      </c>
      <c r="AY104">
        <f t="shared" si="13"/>
        <v>0</v>
      </c>
      <c r="AZ104">
        <f t="shared" si="8"/>
        <v>2</v>
      </c>
    </row>
    <row r="105" spans="1:52" x14ac:dyDescent="0.2">
      <c r="A105">
        <v>104</v>
      </c>
      <c r="B105" t="s">
        <v>151</v>
      </c>
      <c r="C105">
        <v>0</v>
      </c>
      <c r="H105" t="s">
        <v>151</v>
      </c>
      <c r="I105" t="s">
        <v>146</v>
      </c>
      <c r="Q105" t="s">
        <v>151</v>
      </c>
      <c r="R105">
        <v>47.06334854</v>
      </c>
      <c r="S105">
        <v>6</v>
      </c>
      <c r="T105">
        <v>130</v>
      </c>
      <c r="V105">
        <v>0</v>
      </c>
      <c r="W105">
        <v>0</v>
      </c>
      <c r="X105" t="s">
        <v>151</v>
      </c>
      <c r="Y105">
        <v>-1</v>
      </c>
      <c r="Z105">
        <v>6</v>
      </c>
      <c r="AA105">
        <v>47.06</v>
      </c>
      <c r="AB105">
        <v>130</v>
      </c>
      <c r="AC105">
        <v>9.16</v>
      </c>
      <c r="AD105">
        <v>0.1</v>
      </c>
      <c r="AE105">
        <v>0</v>
      </c>
      <c r="AF105">
        <v>0.01</v>
      </c>
      <c r="AG105">
        <v>1</v>
      </c>
      <c r="AH105">
        <v>9.16</v>
      </c>
      <c r="AI105">
        <v>9.16</v>
      </c>
      <c r="AJ105">
        <v>9.16</v>
      </c>
      <c r="AK105">
        <v>0.1</v>
      </c>
      <c r="AL105">
        <v>0.1</v>
      </c>
      <c r="AM105">
        <v>0.1</v>
      </c>
      <c r="AN105">
        <v>0</v>
      </c>
      <c r="AO105">
        <v>0</v>
      </c>
      <c r="AP105">
        <v>0</v>
      </c>
      <c r="AQ105">
        <v>47.06334854</v>
      </c>
      <c r="AR105">
        <v>0</v>
      </c>
      <c r="AS105">
        <f>_xlfn.XLOOKUP(B105,InstallDate!$H$2:$H$389,InstallDate!$BE$2:$BE$389)</f>
        <v>0</v>
      </c>
      <c r="AT105">
        <f t="shared" si="9"/>
        <v>0</v>
      </c>
      <c r="AU105">
        <f t="shared" si="7"/>
        <v>7.3556572713402393E-2</v>
      </c>
      <c r="AV105">
        <f t="shared" si="10"/>
        <v>0</v>
      </c>
      <c r="AW105">
        <f t="shared" si="11"/>
        <v>0</v>
      </c>
      <c r="AX105">
        <f t="shared" si="12"/>
        <v>2</v>
      </c>
      <c r="AY105">
        <f t="shared" si="13"/>
        <v>0</v>
      </c>
      <c r="AZ105">
        <f t="shared" si="8"/>
        <v>2</v>
      </c>
    </row>
    <row r="106" spans="1:52" x14ac:dyDescent="0.2">
      <c r="A106">
        <v>105</v>
      </c>
      <c r="B106" t="s">
        <v>152</v>
      </c>
      <c r="C106">
        <v>0</v>
      </c>
      <c r="H106" t="s">
        <v>152</v>
      </c>
      <c r="I106" t="s">
        <v>146</v>
      </c>
      <c r="Q106" t="s">
        <v>152</v>
      </c>
      <c r="R106">
        <v>38.265259919999998</v>
      </c>
      <c r="S106">
        <v>6</v>
      </c>
      <c r="T106">
        <v>130</v>
      </c>
      <c r="V106">
        <v>0</v>
      </c>
      <c r="W106">
        <v>0</v>
      </c>
      <c r="X106" t="s">
        <v>152</v>
      </c>
      <c r="Y106">
        <v>-1</v>
      </c>
      <c r="Z106">
        <v>6</v>
      </c>
      <c r="AA106">
        <v>38.270000000000003</v>
      </c>
      <c r="AB106">
        <v>130</v>
      </c>
      <c r="AC106">
        <v>6.45</v>
      </c>
      <c r="AD106">
        <v>7.0000000000000007E-2</v>
      </c>
      <c r="AE106">
        <v>0</v>
      </c>
      <c r="AF106">
        <v>0.01</v>
      </c>
      <c r="AG106">
        <v>1</v>
      </c>
      <c r="AH106">
        <v>6.45</v>
      </c>
      <c r="AI106">
        <v>6.45</v>
      </c>
      <c r="AJ106">
        <v>6.45</v>
      </c>
      <c r="AK106">
        <v>7.0000000000000007E-2</v>
      </c>
      <c r="AL106">
        <v>7.0000000000000007E-2</v>
      </c>
      <c r="AM106">
        <v>7.0000000000000007E-2</v>
      </c>
      <c r="AN106">
        <v>0</v>
      </c>
      <c r="AO106">
        <v>0</v>
      </c>
      <c r="AP106">
        <v>0</v>
      </c>
      <c r="AQ106">
        <v>38.265259919999998</v>
      </c>
      <c r="AR106">
        <v>0</v>
      </c>
      <c r="AS106">
        <f>_xlfn.XLOOKUP(B106,InstallDate!$H$2:$H$389,InstallDate!$BE$2:$BE$389)</f>
        <v>0</v>
      </c>
      <c r="AT106">
        <f t="shared" si="9"/>
        <v>0</v>
      </c>
      <c r="AU106">
        <f t="shared" si="7"/>
        <v>5.1794748253432908E-2</v>
      </c>
      <c r="AV106">
        <f t="shared" si="10"/>
        <v>0</v>
      </c>
      <c r="AW106">
        <f t="shared" si="11"/>
        <v>0</v>
      </c>
      <c r="AX106">
        <f t="shared" si="12"/>
        <v>2</v>
      </c>
      <c r="AY106">
        <f t="shared" si="13"/>
        <v>0</v>
      </c>
      <c r="AZ106">
        <f t="shared" si="8"/>
        <v>2</v>
      </c>
    </row>
    <row r="107" spans="1:52" x14ac:dyDescent="0.2">
      <c r="A107">
        <v>106</v>
      </c>
      <c r="B107" t="s">
        <v>153</v>
      </c>
      <c r="C107">
        <v>0</v>
      </c>
      <c r="H107" t="s">
        <v>153</v>
      </c>
      <c r="I107" t="s">
        <v>146</v>
      </c>
      <c r="Q107" t="s">
        <v>153</v>
      </c>
      <c r="R107">
        <v>192.46866549999999</v>
      </c>
      <c r="S107">
        <v>6</v>
      </c>
      <c r="T107">
        <v>130</v>
      </c>
      <c r="V107">
        <v>0</v>
      </c>
      <c r="W107">
        <v>0</v>
      </c>
      <c r="X107" t="s">
        <v>153</v>
      </c>
      <c r="Y107">
        <v>-1</v>
      </c>
      <c r="Z107">
        <v>6</v>
      </c>
      <c r="AA107">
        <v>192.47</v>
      </c>
      <c r="AB107">
        <v>130</v>
      </c>
      <c r="AC107">
        <v>6.45</v>
      </c>
      <c r="AD107">
        <v>7.0000000000000007E-2</v>
      </c>
      <c r="AE107">
        <v>0</v>
      </c>
      <c r="AF107">
        <v>0.01</v>
      </c>
      <c r="AG107">
        <v>1</v>
      </c>
      <c r="AH107">
        <v>6.45</v>
      </c>
      <c r="AI107">
        <v>6.45</v>
      </c>
      <c r="AJ107">
        <v>6.45</v>
      </c>
      <c r="AK107">
        <v>7.0000000000000007E-2</v>
      </c>
      <c r="AL107">
        <v>7.0000000000000007E-2</v>
      </c>
      <c r="AM107">
        <v>7.0000000000000007E-2</v>
      </c>
      <c r="AN107">
        <v>0</v>
      </c>
      <c r="AO107">
        <v>0</v>
      </c>
      <c r="AP107">
        <v>0</v>
      </c>
      <c r="AQ107">
        <v>192.46866549999999</v>
      </c>
      <c r="AR107">
        <v>0</v>
      </c>
      <c r="AS107">
        <f>_xlfn.XLOOKUP(B107,InstallDate!$H$2:$H$389,InstallDate!$BE$2:$BE$389)</f>
        <v>0</v>
      </c>
      <c r="AT107">
        <f t="shared" si="9"/>
        <v>0</v>
      </c>
      <c r="AU107">
        <f t="shared" si="7"/>
        <v>5.1794748253432908E-2</v>
      </c>
      <c r="AV107">
        <f t="shared" si="10"/>
        <v>0</v>
      </c>
      <c r="AW107">
        <f t="shared" si="11"/>
        <v>0</v>
      </c>
      <c r="AX107">
        <f t="shared" si="12"/>
        <v>2</v>
      </c>
      <c r="AY107">
        <f t="shared" si="13"/>
        <v>0</v>
      </c>
      <c r="AZ107">
        <f t="shared" si="8"/>
        <v>2</v>
      </c>
    </row>
    <row r="108" spans="1:52" x14ac:dyDescent="0.2">
      <c r="A108">
        <v>107</v>
      </c>
      <c r="B108" t="s">
        <v>154</v>
      </c>
      <c r="C108">
        <v>0</v>
      </c>
      <c r="H108" t="s">
        <v>154</v>
      </c>
      <c r="I108" t="s">
        <v>146</v>
      </c>
      <c r="Q108" t="s">
        <v>154</v>
      </c>
      <c r="R108">
        <v>746.63834559999998</v>
      </c>
      <c r="S108">
        <v>6</v>
      </c>
      <c r="T108">
        <v>130</v>
      </c>
      <c r="V108">
        <v>0</v>
      </c>
      <c r="W108">
        <v>0</v>
      </c>
      <c r="X108" t="s">
        <v>154</v>
      </c>
      <c r="Y108">
        <v>-1</v>
      </c>
      <c r="Z108">
        <v>6</v>
      </c>
      <c r="AA108">
        <v>746.64</v>
      </c>
      <c r="AB108">
        <v>130</v>
      </c>
      <c r="AC108">
        <v>8.25</v>
      </c>
      <c r="AD108">
        <v>0.09</v>
      </c>
      <c r="AE108">
        <v>0.01</v>
      </c>
      <c r="AF108">
        <v>0.01</v>
      </c>
      <c r="AG108">
        <v>1</v>
      </c>
      <c r="AH108">
        <v>8.25</v>
      </c>
      <c r="AI108">
        <v>8.25</v>
      </c>
      <c r="AJ108">
        <v>8.25</v>
      </c>
      <c r="AK108">
        <v>0.09</v>
      </c>
      <c r="AL108">
        <v>0.09</v>
      </c>
      <c r="AM108">
        <v>0.09</v>
      </c>
      <c r="AN108">
        <v>0.01</v>
      </c>
      <c r="AO108">
        <v>0.01</v>
      </c>
      <c r="AP108">
        <v>0.01</v>
      </c>
      <c r="AQ108">
        <v>746.63834559999998</v>
      </c>
      <c r="AR108">
        <v>0</v>
      </c>
      <c r="AS108">
        <f>_xlfn.XLOOKUP(B108,InstallDate!$H$2:$H$389,InstallDate!$BE$2:$BE$389)</f>
        <v>0</v>
      </c>
      <c r="AT108">
        <f t="shared" si="9"/>
        <v>0</v>
      </c>
      <c r="AU108">
        <f t="shared" si="7"/>
        <v>6.6249096603228141E-2</v>
      </c>
      <c r="AV108">
        <f t="shared" si="10"/>
        <v>0</v>
      </c>
      <c r="AW108">
        <f t="shared" si="11"/>
        <v>0</v>
      </c>
      <c r="AX108">
        <f t="shared" si="12"/>
        <v>2</v>
      </c>
      <c r="AY108">
        <f t="shared" si="13"/>
        <v>0</v>
      </c>
      <c r="AZ108">
        <f t="shared" si="8"/>
        <v>2</v>
      </c>
    </row>
    <row r="109" spans="1:52" x14ac:dyDescent="0.2">
      <c r="A109">
        <v>108</v>
      </c>
      <c r="B109" t="s">
        <v>155</v>
      </c>
      <c r="C109">
        <v>0</v>
      </c>
      <c r="H109" t="s">
        <v>155</v>
      </c>
      <c r="I109" t="s">
        <v>146</v>
      </c>
      <c r="Q109" t="s">
        <v>155</v>
      </c>
      <c r="R109">
        <v>27.18767545</v>
      </c>
      <c r="S109">
        <v>6</v>
      </c>
      <c r="T109">
        <v>130</v>
      </c>
      <c r="V109">
        <v>0</v>
      </c>
      <c r="W109">
        <v>0</v>
      </c>
      <c r="X109" t="s">
        <v>155</v>
      </c>
      <c r="Y109">
        <v>-1</v>
      </c>
      <c r="Z109">
        <v>6</v>
      </c>
      <c r="AA109">
        <v>27.19</v>
      </c>
      <c r="AB109">
        <v>130</v>
      </c>
      <c r="AC109">
        <v>10.06</v>
      </c>
      <c r="AD109">
        <v>0.11</v>
      </c>
      <c r="AE109">
        <v>0</v>
      </c>
      <c r="AF109">
        <v>0.02</v>
      </c>
      <c r="AG109">
        <v>1</v>
      </c>
      <c r="AH109">
        <v>10.06</v>
      </c>
      <c r="AI109">
        <v>10.06</v>
      </c>
      <c r="AJ109">
        <v>10.06</v>
      </c>
      <c r="AK109">
        <v>0.11</v>
      </c>
      <c r="AL109">
        <v>0.11</v>
      </c>
      <c r="AM109">
        <v>0.11</v>
      </c>
      <c r="AN109">
        <v>0</v>
      </c>
      <c r="AO109">
        <v>0</v>
      </c>
      <c r="AP109">
        <v>0</v>
      </c>
      <c r="AQ109">
        <v>27.18767545</v>
      </c>
      <c r="AR109">
        <v>0</v>
      </c>
      <c r="AS109">
        <f>_xlfn.XLOOKUP(B109,InstallDate!$H$2:$H$389,InstallDate!$BE$2:$BE$389)</f>
        <v>0</v>
      </c>
      <c r="AT109">
        <f t="shared" si="9"/>
        <v>0</v>
      </c>
      <c r="AU109">
        <f t="shared" si="7"/>
        <v>8.0783746888300006E-2</v>
      </c>
      <c r="AV109">
        <f t="shared" si="10"/>
        <v>0</v>
      </c>
      <c r="AW109">
        <f t="shared" si="11"/>
        <v>0</v>
      </c>
      <c r="AX109">
        <f t="shared" si="12"/>
        <v>2</v>
      </c>
      <c r="AY109">
        <f t="shared" si="13"/>
        <v>0</v>
      </c>
      <c r="AZ109">
        <f t="shared" si="8"/>
        <v>2</v>
      </c>
    </row>
    <row r="110" spans="1:52" x14ac:dyDescent="0.2">
      <c r="A110">
        <v>109</v>
      </c>
      <c r="B110" t="s">
        <v>156</v>
      </c>
      <c r="C110">
        <v>0</v>
      </c>
      <c r="H110" t="s">
        <v>156</v>
      </c>
      <c r="I110" t="s">
        <v>146</v>
      </c>
      <c r="Q110" t="s">
        <v>156</v>
      </c>
      <c r="R110">
        <v>373.28804439999999</v>
      </c>
      <c r="S110">
        <v>6</v>
      </c>
      <c r="T110">
        <v>130</v>
      </c>
      <c r="V110">
        <v>0</v>
      </c>
      <c r="W110">
        <v>0</v>
      </c>
      <c r="X110" t="s">
        <v>156</v>
      </c>
      <c r="Y110">
        <v>-1</v>
      </c>
      <c r="Z110">
        <v>6</v>
      </c>
      <c r="AA110">
        <v>373.29</v>
      </c>
      <c r="AB110">
        <v>130</v>
      </c>
      <c r="AC110">
        <v>10.06</v>
      </c>
      <c r="AD110">
        <v>0.11</v>
      </c>
      <c r="AE110">
        <v>0.01</v>
      </c>
      <c r="AF110">
        <v>0.01</v>
      </c>
      <c r="AG110">
        <v>1</v>
      </c>
      <c r="AH110">
        <v>10.06</v>
      </c>
      <c r="AI110">
        <v>10.06</v>
      </c>
      <c r="AJ110">
        <v>10.06</v>
      </c>
      <c r="AK110">
        <v>0.11</v>
      </c>
      <c r="AL110">
        <v>0.11</v>
      </c>
      <c r="AM110">
        <v>0.11</v>
      </c>
      <c r="AN110">
        <v>0.01</v>
      </c>
      <c r="AO110">
        <v>0.01</v>
      </c>
      <c r="AP110">
        <v>0.01</v>
      </c>
      <c r="AQ110">
        <v>373.28804439999999</v>
      </c>
      <c r="AR110">
        <v>0</v>
      </c>
      <c r="AS110">
        <f>_xlfn.XLOOKUP(B110,InstallDate!$H$2:$H$389,InstallDate!$BE$2:$BE$389)</f>
        <v>0</v>
      </c>
      <c r="AT110">
        <f t="shared" si="9"/>
        <v>0</v>
      </c>
      <c r="AU110">
        <f t="shared" si="7"/>
        <v>8.0783746888300006E-2</v>
      </c>
      <c r="AV110">
        <f t="shared" si="10"/>
        <v>0</v>
      </c>
      <c r="AW110">
        <f t="shared" si="11"/>
        <v>0</v>
      </c>
      <c r="AX110">
        <f t="shared" si="12"/>
        <v>2</v>
      </c>
      <c r="AY110">
        <f t="shared" si="13"/>
        <v>0</v>
      </c>
      <c r="AZ110">
        <f t="shared" si="8"/>
        <v>2</v>
      </c>
    </row>
    <row r="111" spans="1:52" x14ac:dyDescent="0.2">
      <c r="A111">
        <v>110</v>
      </c>
      <c r="B111" t="s">
        <v>157</v>
      </c>
      <c r="C111">
        <v>0</v>
      </c>
      <c r="H111" t="s">
        <v>157</v>
      </c>
      <c r="I111" t="s">
        <v>158</v>
      </c>
      <c r="Q111" t="s">
        <v>157</v>
      </c>
      <c r="R111">
        <v>10.91095048</v>
      </c>
      <c r="S111">
        <v>6</v>
      </c>
      <c r="T111">
        <v>130</v>
      </c>
      <c r="V111">
        <v>0</v>
      </c>
      <c r="W111">
        <v>0</v>
      </c>
      <c r="X111" t="s">
        <v>157</v>
      </c>
      <c r="Y111">
        <v>-1</v>
      </c>
      <c r="Z111">
        <v>6</v>
      </c>
      <c r="AA111">
        <v>10.91</v>
      </c>
      <c r="AB111">
        <v>130</v>
      </c>
      <c r="AC111">
        <v>11.45</v>
      </c>
      <c r="AD111">
        <v>0.13</v>
      </c>
      <c r="AE111">
        <v>0</v>
      </c>
      <c r="AF111">
        <v>0.02</v>
      </c>
      <c r="AG111">
        <v>1</v>
      </c>
      <c r="AH111">
        <v>11.45</v>
      </c>
      <c r="AI111">
        <v>11.45</v>
      </c>
      <c r="AJ111">
        <v>11.45</v>
      </c>
      <c r="AK111">
        <v>0.13</v>
      </c>
      <c r="AL111">
        <v>0.13</v>
      </c>
      <c r="AM111">
        <v>0.13</v>
      </c>
      <c r="AN111">
        <v>0</v>
      </c>
      <c r="AO111">
        <v>0</v>
      </c>
      <c r="AP111">
        <v>0</v>
      </c>
      <c r="AQ111">
        <v>10.91095048</v>
      </c>
      <c r="AR111">
        <v>0</v>
      </c>
      <c r="AS111">
        <f>_xlfn.XLOOKUP(B111,InstallDate!$H$2:$H$389,InstallDate!$BE$2:$BE$389)</f>
        <v>0</v>
      </c>
      <c r="AT111">
        <f t="shared" si="9"/>
        <v>0</v>
      </c>
      <c r="AU111">
        <f t="shared" si="7"/>
        <v>9.1945715891752988E-2</v>
      </c>
      <c r="AV111">
        <f t="shared" si="10"/>
        <v>0</v>
      </c>
      <c r="AW111">
        <f t="shared" si="11"/>
        <v>0</v>
      </c>
      <c r="AX111">
        <f t="shared" si="12"/>
        <v>2</v>
      </c>
      <c r="AY111">
        <f t="shared" si="13"/>
        <v>0</v>
      </c>
      <c r="AZ111">
        <f t="shared" si="8"/>
        <v>2</v>
      </c>
    </row>
    <row r="112" spans="1:52" x14ac:dyDescent="0.2">
      <c r="A112">
        <v>111</v>
      </c>
      <c r="B112" t="s">
        <v>159</v>
      </c>
      <c r="C112">
        <v>0</v>
      </c>
      <c r="H112" t="s">
        <v>159</v>
      </c>
      <c r="I112" t="s">
        <v>45</v>
      </c>
      <c r="Q112" t="s">
        <v>159</v>
      </c>
      <c r="R112">
        <v>84.748975340000001</v>
      </c>
      <c r="S112">
        <v>6</v>
      </c>
      <c r="T112">
        <v>130</v>
      </c>
      <c r="V112">
        <v>0</v>
      </c>
      <c r="W112">
        <v>0</v>
      </c>
      <c r="X112" t="s">
        <v>159</v>
      </c>
      <c r="Y112">
        <v>0</v>
      </c>
      <c r="Z112">
        <v>6</v>
      </c>
      <c r="AA112">
        <v>84.75</v>
      </c>
      <c r="AB112">
        <v>130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84.748975340000001</v>
      </c>
      <c r="AR112">
        <v>0</v>
      </c>
      <c r="AS112">
        <f>_xlfn.XLOOKUP(B112,InstallDate!$H$2:$H$389,InstallDate!$BE$2:$BE$389)</f>
        <v>0</v>
      </c>
      <c r="AT112">
        <f t="shared" si="9"/>
        <v>0</v>
      </c>
      <c r="AU112">
        <f t="shared" si="7"/>
        <v>0</v>
      </c>
      <c r="AV112">
        <f t="shared" si="10"/>
        <v>0</v>
      </c>
      <c r="AW112">
        <f t="shared" si="11"/>
        <v>0</v>
      </c>
      <c r="AX112">
        <f t="shared" si="12"/>
        <v>0</v>
      </c>
      <c r="AY112">
        <f t="shared" si="13"/>
        <v>1</v>
      </c>
      <c r="AZ112">
        <f t="shared" si="8"/>
        <v>1</v>
      </c>
    </row>
    <row r="113" spans="1:52" x14ac:dyDescent="0.2">
      <c r="A113">
        <v>112</v>
      </c>
      <c r="B113" t="s">
        <v>160</v>
      </c>
      <c r="C113">
        <v>0</v>
      </c>
      <c r="H113" t="s">
        <v>160</v>
      </c>
      <c r="I113" t="s">
        <v>45</v>
      </c>
      <c r="Q113" t="s">
        <v>160</v>
      </c>
      <c r="R113">
        <v>454.878782</v>
      </c>
      <c r="S113">
        <v>6</v>
      </c>
      <c r="T113">
        <v>130</v>
      </c>
      <c r="V113">
        <v>0</v>
      </c>
      <c r="W113">
        <v>0</v>
      </c>
      <c r="X113" t="s">
        <v>160</v>
      </c>
      <c r="Y113">
        <v>-1</v>
      </c>
      <c r="Z113">
        <v>6</v>
      </c>
      <c r="AA113">
        <v>454.88</v>
      </c>
      <c r="AB113">
        <v>130</v>
      </c>
      <c r="AC113">
        <v>0.69</v>
      </c>
      <c r="AD113">
        <v>0.01</v>
      </c>
      <c r="AE113">
        <v>0</v>
      </c>
      <c r="AF113">
        <v>0</v>
      </c>
      <c r="AG113">
        <v>1</v>
      </c>
      <c r="AH113">
        <v>0.69</v>
      </c>
      <c r="AI113">
        <v>0.69</v>
      </c>
      <c r="AJ113">
        <v>0.69</v>
      </c>
      <c r="AK113">
        <v>0.01</v>
      </c>
      <c r="AL113">
        <v>0.01</v>
      </c>
      <c r="AM113">
        <v>0.01</v>
      </c>
      <c r="AN113">
        <v>0</v>
      </c>
      <c r="AO113">
        <v>0</v>
      </c>
      <c r="AP113">
        <v>0</v>
      </c>
      <c r="AQ113">
        <v>454.878782</v>
      </c>
      <c r="AR113">
        <v>0</v>
      </c>
      <c r="AS113">
        <f>_xlfn.XLOOKUP(B113,InstallDate!$H$2:$H$389,InstallDate!$BE$2:$BE$389)</f>
        <v>0</v>
      </c>
      <c r="AT113">
        <f t="shared" si="9"/>
        <v>0</v>
      </c>
      <c r="AU113">
        <f t="shared" si="7"/>
        <v>5.5408335340881715E-3</v>
      </c>
      <c r="AV113">
        <f t="shared" si="10"/>
        <v>0</v>
      </c>
      <c r="AW113">
        <f t="shared" si="11"/>
        <v>0</v>
      </c>
      <c r="AX113">
        <f t="shared" si="12"/>
        <v>0</v>
      </c>
      <c r="AY113">
        <f t="shared" si="13"/>
        <v>1</v>
      </c>
      <c r="AZ113">
        <f t="shared" si="8"/>
        <v>1</v>
      </c>
    </row>
    <row r="114" spans="1:52" x14ac:dyDescent="0.2">
      <c r="A114">
        <v>113</v>
      </c>
      <c r="B114" t="s">
        <v>161</v>
      </c>
      <c r="C114">
        <v>0</v>
      </c>
      <c r="H114" t="s">
        <v>161</v>
      </c>
      <c r="I114" t="s">
        <v>158</v>
      </c>
      <c r="Q114" t="s">
        <v>161</v>
      </c>
      <c r="R114">
        <v>13.59322959</v>
      </c>
      <c r="S114">
        <v>6</v>
      </c>
      <c r="T114">
        <v>130</v>
      </c>
      <c r="V114">
        <v>0</v>
      </c>
      <c r="W114">
        <v>0</v>
      </c>
      <c r="X114" t="s">
        <v>161</v>
      </c>
      <c r="Y114">
        <v>-1</v>
      </c>
      <c r="Z114">
        <v>6</v>
      </c>
      <c r="AA114">
        <v>13.59</v>
      </c>
      <c r="AB114">
        <v>130</v>
      </c>
      <c r="AC114">
        <v>11.45</v>
      </c>
      <c r="AD114">
        <v>0.13</v>
      </c>
      <c r="AE114">
        <v>0</v>
      </c>
      <c r="AF114">
        <v>0.02</v>
      </c>
      <c r="AG114">
        <v>1</v>
      </c>
      <c r="AH114">
        <v>11.45</v>
      </c>
      <c r="AI114">
        <v>11.45</v>
      </c>
      <c r="AJ114">
        <v>11.45</v>
      </c>
      <c r="AK114">
        <v>0.13</v>
      </c>
      <c r="AL114">
        <v>0.13</v>
      </c>
      <c r="AM114">
        <v>0.13</v>
      </c>
      <c r="AN114">
        <v>0</v>
      </c>
      <c r="AO114">
        <v>0</v>
      </c>
      <c r="AP114">
        <v>0</v>
      </c>
      <c r="AQ114">
        <v>13.59322959</v>
      </c>
      <c r="AR114">
        <v>0</v>
      </c>
      <c r="AS114">
        <f>_xlfn.XLOOKUP(B114,InstallDate!$H$2:$H$389,InstallDate!$BE$2:$BE$389)</f>
        <v>0</v>
      </c>
      <c r="AT114">
        <f t="shared" si="9"/>
        <v>0</v>
      </c>
      <c r="AU114">
        <f t="shared" si="7"/>
        <v>9.1945715891752988E-2</v>
      </c>
      <c r="AV114">
        <f t="shared" si="10"/>
        <v>0</v>
      </c>
      <c r="AW114">
        <f t="shared" si="11"/>
        <v>0</v>
      </c>
      <c r="AX114">
        <f t="shared" si="12"/>
        <v>2</v>
      </c>
      <c r="AY114">
        <f t="shared" si="13"/>
        <v>0</v>
      </c>
      <c r="AZ114">
        <f t="shared" si="8"/>
        <v>2</v>
      </c>
    </row>
    <row r="115" spans="1:52" x14ac:dyDescent="0.2">
      <c r="A115">
        <v>114</v>
      </c>
      <c r="B115" t="s">
        <v>162</v>
      </c>
      <c r="C115">
        <v>0</v>
      </c>
      <c r="H115" t="s">
        <v>162</v>
      </c>
      <c r="I115" t="s">
        <v>158</v>
      </c>
      <c r="Q115" t="s">
        <v>162</v>
      </c>
      <c r="R115">
        <v>502.71492619999998</v>
      </c>
      <c r="S115">
        <v>6</v>
      </c>
      <c r="T115">
        <v>130</v>
      </c>
      <c r="V115">
        <v>0</v>
      </c>
      <c r="W115">
        <v>0</v>
      </c>
      <c r="X115" t="s">
        <v>162</v>
      </c>
      <c r="Y115">
        <v>-1</v>
      </c>
      <c r="Z115">
        <v>6</v>
      </c>
      <c r="AA115">
        <v>502.71</v>
      </c>
      <c r="AB115">
        <v>130</v>
      </c>
      <c r="AC115">
        <v>19.91</v>
      </c>
      <c r="AD115">
        <v>0.23</v>
      </c>
      <c r="AE115">
        <v>0.03</v>
      </c>
      <c r="AF115">
        <v>0.05</v>
      </c>
      <c r="AG115">
        <v>1</v>
      </c>
      <c r="AH115">
        <v>19.91</v>
      </c>
      <c r="AI115">
        <v>19.91</v>
      </c>
      <c r="AJ115">
        <v>19.91</v>
      </c>
      <c r="AK115">
        <v>0.23</v>
      </c>
      <c r="AL115">
        <v>0.23</v>
      </c>
      <c r="AM115">
        <v>0.23</v>
      </c>
      <c r="AN115">
        <v>0.03</v>
      </c>
      <c r="AO115">
        <v>0.03</v>
      </c>
      <c r="AP115">
        <v>0.03</v>
      </c>
      <c r="AQ115">
        <v>502.71492619999998</v>
      </c>
      <c r="AR115">
        <v>0</v>
      </c>
      <c r="AS115">
        <f>_xlfn.XLOOKUP(B115,InstallDate!$H$2:$H$389,InstallDate!$BE$2:$BE$389)</f>
        <v>0</v>
      </c>
      <c r="AT115">
        <f t="shared" si="9"/>
        <v>0</v>
      </c>
      <c r="AU115">
        <f t="shared" si="7"/>
        <v>0.15988115313579057</v>
      </c>
      <c r="AV115">
        <f t="shared" si="10"/>
        <v>0</v>
      </c>
      <c r="AW115">
        <f t="shared" si="11"/>
        <v>0</v>
      </c>
      <c r="AX115">
        <f t="shared" si="12"/>
        <v>2</v>
      </c>
      <c r="AY115">
        <f t="shared" si="13"/>
        <v>0</v>
      </c>
      <c r="AZ115">
        <f t="shared" si="8"/>
        <v>2</v>
      </c>
    </row>
    <row r="116" spans="1:52" x14ac:dyDescent="0.2">
      <c r="A116">
        <v>115</v>
      </c>
      <c r="B116" t="s">
        <v>163</v>
      </c>
      <c r="C116">
        <v>0</v>
      </c>
      <c r="H116" t="s">
        <v>163</v>
      </c>
      <c r="I116" t="s">
        <v>148</v>
      </c>
      <c r="Q116" t="s">
        <v>163</v>
      </c>
      <c r="R116">
        <v>108.5799324</v>
      </c>
      <c r="S116">
        <v>6</v>
      </c>
      <c r="T116">
        <v>130</v>
      </c>
      <c r="V116">
        <v>0</v>
      </c>
      <c r="W116">
        <v>0</v>
      </c>
      <c r="X116" t="s">
        <v>163</v>
      </c>
      <c r="Y116">
        <v>-1</v>
      </c>
      <c r="Z116">
        <v>6</v>
      </c>
      <c r="AA116">
        <v>108.58</v>
      </c>
      <c r="AB116">
        <v>130</v>
      </c>
      <c r="AC116">
        <v>21.44</v>
      </c>
      <c r="AD116">
        <v>0.24</v>
      </c>
      <c r="AE116">
        <v>0.01</v>
      </c>
      <c r="AF116">
        <v>0.06</v>
      </c>
      <c r="AG116">
        <v>1</v>
      </c>
      <c r="AH116">
        <v>21.44</v>
      </c>
      <c r="AI116">
        <v>21.44</v>
      </c>
      <c r="AJ116">
        <v>21.44</v>
      </c>
      <c r="AK116">
        <v>0.24</v>
      </c>
      <c r="AL116">
        <v>0.24</v>
      </c>
      <c r="AM116">
        <v>0.24</v>
      </c>
      <c r="AN116">
        <v>0.01</v>
      </c>
      <c r="AO116">
        <v>0.01</v>
      </c>
      <c r="AP116">
        <v>0.01</v>
      </c>
      <c r="AQ116">
        <v>108.5799324</v>
      </c>
      <c r="AR116">
        <v>0</v>
      </c>
      <c r="AS116">
        <f>_xlfn.XLOOKUP(B116,InstallDate!$H$2:$H$389,InstallDate!$BE$2:$BE$389)</f>
        <v>0</v>
      </c>
      <c r="AT116">
        <f t="shared" si="9"/>
        <v>0</v>
      </c>
      <c r="AU116">
        <f t="shared" si="7"/>
        <v>0.17216734923311652</v>
      </c>
      <c r="AV116">
        <f t="shared" si="10"/>
        <v>0</v>
      </c>
      <c r="AW116">
        <f t="shared" si="11"/>
        <v>0</v>
      </c>
      <c r="AX116">
        <f t="shared" si="12"/>
        <v>2</v>
      </c>
      <c r="AY116">
        <f t="shared" si="13"/>
        <v>0</v>
      </c>
      <c r="AZ116">
        <f t="shared" si="8"/>
        <v>2</v>
      </c>
    </row>
    <row r="117" spans="1:52" x14ac:dyDescent="0.2">
      <c r="A117">
        <v>116</v>
      </c>
      <c r="B117" t="s">
        <v>164</v>
      </c>
      <c r="C117">
        <v>0</v>
      </c>
      <c r="H117" t="s">
        <v>164</v>
      </c>
      <c r="I117" t="s">
        <v>148</v>
      </c>
      <c r="Q117" t="s">
        <v>164</v>
      </c>
      <c r="R117">
        <v>287.1336652</v>
      </c>
      <c r="S117">
        <v>6</v>
      </c>
      <c r="T117">
        <v>130</v>
      </c>
      <c r="V117">
        <v>0</v>
      </c>
      <c r="W117">
        <v>0</v>
      </c>
      <c r="X117" t="s">
        <v>164</v>
      </c>
      <c r="Y117">
        <v>-1</v>
      </c>
      <c r="Z117">
        <v>6</v>
      </c>
      <c r="AA117">
        <v>287.13</v>
      </c>
      <c r="AB117">
        <v>130</v>
      </c>
      <c r="AC117">
        <v>21.86</v>
      </c>
      <c r="AD117">
        <v>0.25</v>
      </c>
      <c r="AE117">
        <v>0.02</v>
      </c>
      <c r="AF117">
        <v>0.06</v>
      </c>
      <c r="AG117">
        <v>1</v>
      </c>
      <c r="AH117">
        <v>21.86</v>
      </c>
      <c r="AI117">
        <v>21.86</v>
      </c>
      <c r="AJ117">
        <v>21.86</v>
      </c>
      <c r="AK117">
        <v>0.25</v>
      </c>
      <c r="AL117">
        <v>0.25</v>
      </c>
      <c r="AM117">
        <v>0.25</v>
      </c>
      <c r="AN117">
        <v>0.02</v>
      </c>
      <c r="AO117">
        <v>0.02</v>
      </c>
      <c r="AP117">
        <v>0.02</v>
      </c>
      <c r="AQ117">
        <v>287.1336652</v>
      </c>
      <c r="AR117">
        <v>1</v>
      </c>
      <c r="AS117">
        <f>_xlfn.XLOOKUP(B117,InstallDate!$H$2:$H$389,InstallDate!$BE$2:$BE$389)</f>
        <v>0</v>
      </c>
      <c r="AT117">
        <f t="shared" si="9"/>
        <v>1</v>
      </c>
      <c r="AU117">
        <f t="shared" si="7"/>
        <v>0.17554003051473541</v>
      </c>
      <c r="AV117">
        <f t="shared" si="10"/>
        <v>0</v>
      </c>
      <c r="AW117">
        <f t="shared" si="11"/>
        <v>3</v>
      </c>
      <c r="AX117">
        <f t="shared" si="12"/>
        <v>2</v>
      </c>
      <c r="AY117">
        <f t="shared" si="13"/>
        <v>0</v>
      </c>
      <c r="AZ117">
        <f t="shared" si="8"/>
        <v>2</v>
      </c>
    </row>
    <row r="118" spans="1:52" x14ac:dyDescent="0.2">
      <c r="A118">
        <v>117</v>
      </c>
      <c r="B118" t="s">
        <v>165</v>
      </c>
      <c r="C118">
        <v>0</v>
      </c>
      <c r="H118" t="s">
        <v>165</v>
      </c>
      <c r="I118" t="s">
        <v>148</v>
      </c>
      <c r="Q118" t="s">
        <v>165</v>
      </c>
      <c r="R118">
        <v>24.810494259999999</v>
      </c>
      <c r="S118">
        <v>6</v>
      </c>
      <c r="T118">
        <v>130</v>
      </c>
      <c r="V118">
        <v>0</v>
      </c>
      <c r="W118">
        <v>0</v>
      </c>
      <c r="X118" t="s">
        <v>165</v>
      </c>
      <c r="Y118">
        <v>-1</v>
      </c>
      <c r="Z118">
        <v>6</v>
      </c>
      <c r="AA118">
        <v>24.81</v>
      </c>
      <c r="AB118">
        <v>130</v>
      </c>
      <c r="AC118">
        <v>21.86</v>
      </c>
      <c r="AD118">
        <v>0.25</v>
      </c>
      <c r="AE118">
        <v>0</v>
      </c>
      <c r="AF118">
        <v>0.06</v>
      </c>
      <c r="AG118">
        <v>1</v>
      </c>
      <c r="AH118">
        <v>21.86</v>
      </c>
      <c r="AI118">
        <v>21.86</v>
      </c>
      <c r="AJ118">
        <v>21.86</v>
      </c>
      <c r="AK118">
        <v>0.25</v>
      </c>
      <c r="AL118">
        <v>0.25</v>
      </c>
      <c r="AM118">
        <v>0.25</v>
      </c>
      <c r="AN118">
        <v>0</v>
      </c>
      <c r="AO118">
        <v>0</v>
      </c>
      <c r="AP118">
        <v>0</v>
      </c>
      <c r="AQ118">
        <v>24.810494259999999</v>
      </c>
      <c r="AR118">
        <v>1</v>
      </c>
      <c r="AS118">
        <f>_xlfn.XLOOKUP(B118,InstallDate!$H$2:$H$389,InstallDate!$BE$2:$BE$389)</f>
        <v>1</v>
      </c>
      <c r="AT118">
        <f t="shared" si="9"/>
        <v>1</v>
      </c>
      <c r="AU118">
        <f t="shared" si="7"/>
        <v>0.17554003051473541</v>
      </c>
      <c r="AV118">
        <f t="shared" si="10"/>
        <v>0</v>
      </c>
      <c r="AW118">
        <f t="shared" si="11"/>
        <v>3</v>
      </c>
      <c r="AX118">
        <f t="shared" si="12"/>
        <v>2</v>
      </c>
      <c r="AY118">
        <f t="shared" si="13"/>
        <v>0</v>
      </c>
      <c r="AZ118">
        <f t="shared" si="8"/>
        <v>3</v>
      </c>
    </row>
    <row r="119" spans="1:52" x14ac:dyDescent="0.2">
      <c r="A119">
        <v>118</v>
      </c>
      <c r="B119" t="s">
        <v>166</v>
      </c>
      <c r="C119">
        <v>0</v>
      </c>
      <c r="H119" t="s">
        <v>166</v>
      </c>
      <c r="I119" t="s">
        <v>158</v>
      </c>
      <c r="Q119" t="s">
        <v>166</v>
      </c>
      <c r="R119">
        <v>21.535794379999999</v>
      </c>
      <c r="S119">
        <v>6</v>
      </c>
      <c r="T119">
        <v>130</v>
      </c>
      <c r="V119">
        <v>0</v>
      </c>
      <c r="W119">
        <v>0</v>
      </c>
      <c r="X119" t="s">
        <v>166</v>
      </c>
      <c r="Y119">
        <v>-1</v>
      </c>
      <c r="Z119">
        <v>6</v>
      </c>
      <c r="AA119">
        <v>21.54</v>
      </c>
      <c r="AB119">
        <v>130</v>
      </c>
      <c r="AC119">
        <v>7.45</v>
      </c>
      <c r="AD119">
        <v>0.08</v>
      </c>
      <c r="AE119">
        <v>0</v>
      </c>
      <c r="AF119">
        <v>0.01</v>
      </c>
      <c r="AG119">
        <v>1</v>
      </c>
      <c r="AH119">
        <v>7.45</v>
      </c>
      <c r="AI119">
        <v>7.45</v>
      </c>
      <c r="AJ119">
        <v>7.45</v>
      </c>
      <c r="AK119">
        <v>0.08</v>
      </c>
      <c r="AL119">
        <v>0.08</v>
      </c>
      <c r="AM119">
        <v>0.08</v>
      </c>
      <c r="AN119">
        <v>0</v>
      </c>
      <c r="AO119">
        <v>0</v>
      </c>
      <c r="AP119">
        <v>0</v>
      </c>
      <c r="AQ119">
        <v>21.535794379999999</v>
      </c>
      <c r="AR119">
        <v>0</v>
      </c>
      <c r="AS119">
        <f>_xlfn.XLOOKUP(B119,InstallDate!$H$2:$H$389,InstallDate!$BE$2:$BE$389)</f>
        <v>0</v>
      </c>
      <c r="AT119">
        <f t="shared" si="9"/>
        <v>0</v>
      </c>
      <c r="AU119">
        <f t="shared" si="7"/>
        <v>5.9824941781096923E-2</v>
      </c>
      <c r="AV119">
        <f t="shared" si="10"/>
        <v>0</v>
      </c>
      <c r="AW119">
        <f t="shared" si="11"/>
        <v>0</v>
      </c>
      <c r="AX119">
        <f t="shared" si="12"/>
        <v>2</v>
      </c>
      <c r="AY119">
        <f t="shared" si="13"/>
        <v>0</v>
      </c>
      <c r="AZ119">
        <f t="shared" si="8"/>
        <v>2</v>
      </c>
    </row>
    <row r="120" spans="1:52" x14ac:dyDescent="0.2">
      <c r="A120">
        <v>119</v>
      </c>
      <c r="B120" t="s">
        <v>167</v>
      </c>
      <c r="C120">
        <v>0</v>
      </c>
      <c r="H120" t="s">
        <v>167</v>
      </c>
      <c r="I120" t="s">
        <v>158</v>
      </c>
      <c r="Q120" t="s">
        <v>167</v>
      </c>
      <c r="R120">
        <v>369.63962479999998</v>
      </c>
      <c r="S120">
        <v>6</v>
      </c>
      <c r="T120">
        <v>130</v>
      </c>
      <c r="V120">
        <v>0</v>
      </c>
      <c r="W120">
        <v>0</v>
      </c>
      <c r="X120" t="s">
        <v>167</v>
      </c>
      <c r="Y120">
        <v>-1</v>
      </c>
      <c r="Z120">
        <v>6</v>
      </c>
      <c r="AA120">
        <v>369.64</v>
      </c>
      <c r="AB120">
        <v>130</v>
      </c>
      <c r="AC120">
        <v>7.45</v>
      </c>
      <c r="AD120">
        <v>0.08</v>
      </c>
      <c r="AE120">
        <v>0</v>
      </c>
      <c r="AF120">
        <v>0.01</v>
      </c>
      <c r="AG120">
        <v>1</v>
      </c>
      <c r="AH120">
        <v>7.45</v>
      </c>
      <c r="AI120">
        <v>7.45</v>
      </c>
      <c r="AJ120">
        <v>7.45</v>
      </c>
      <c r="AK120">
        <v>0.08</v>
      </c>
      <c r="AL120">
        <v>0.08</v>
      </c>
      <c r="AM120">
        <v>0.08</v>
      </c>
      <c r="AN120">
        <v>0</v>
      </c>
      <c r="AO120">
        <v>0</v>
      </c>
      <c r="AP120">
        <v>0</v>
      </c>
      <c r="AQ120">
        <v>369.63962479999998</v>
      </c>
      <c r="AR120">
        <v>0</v>
      </c>
      <c r="AS120">
        <f>_xlfn.XLOOKUP(B120,InstallDate!$H$2:$H$389,InstallDate!$BE$2:$BE$389)</f>
        <v>0</v>
      </c>
      <c r="AT120">
        <f t="shared" si="9"/>
        <v>0</v>
      </c>
      <c r="AU120">
        <f t="shared" si="7"/>
        <v>5.9824941781096923E-2</v>
      </c>
      <c r="AV120">
        <f t="shared" si="10"/>
        <v>0</v>
      </c>
      <c r="AW120">
        <f t="shared" si="11"/>
        <v>0</v>
      </c>
      <c r="AX120">
        <f t="shared" si="12"/>
        <v>2</v>
      </c>
      <c r="AY120">
        <f t="shared" si="13"/>
        <v>0</v>
      </c>
      <c r="AZ120">
        <f t="shared" si="8"/>
        <v>2</v>
      </c>
    </row>
    <row r="121" spans="1:52" x14ac:dyDescent="0.2">
      <c r="A121">
        <v>120</v>
      </c>
      <c r="B121" t="s">
        <v>168</v>
      </c>
      <c r="C121">
        <v>0</v>
      </c>
      <c r="H121" t="s">
        <v>168</v>
      </c>
      <c r="I121" t="s">
        <v>158</v>
      </c>
      <c r="Q121" t="s">
        <v>168</v>
      </c>
      <c r="R121">
        <v>156.88113129999999</v>
      </c>
      <c r="S121">
        <v>6</v>
      </c>
      <c r="T121">
        <v>130</v>
      </c>
      <c r="V121">
        <v>0</v>
      </c>
      <c r="W121">
        <v>0</v>
      </c>
      <c r="X121" t="s">
        <v>168</v>
      </c>
      <c r="Y121">
        <v>-1</v>
      </c>
      <c r="Z121">
        <v>6</v>
      </c>
      <c r="AA121">
        <v>156.88</v>
      </c>
      <c r="AB121">
        <v>130</v>
      </c>
      <c r="AC121">
        <v>7.73</v>
      </c>
      <c r="AD121">
        <v>0.09</v>
      </c>
      <c r="AE121">
        <v>0</v>
      </c>
      <c r="AF121">
        <v>0.01</v>
      </c>
      <c r="AG121">
        <v>1</v>
      </c>
      <c r="AH121">
        <v>7.73</v>
      </c>
      <c r="AI121">
        <v>7.73</v>
      </c>
      <c r="AJ121">
        <v>7.73</v>
      </c>
      <c r="AK121">
        <v>0.09</v>
      </c>
      <c r="AL121">
        <v>0.09</v>
      </c>
      <c r="AM121">
        <v>0.09</v>
      </c>
      <c r="AN121">
        <v>0</v>
      </c>
      <c r="AO121">
        <v>0</v>
      </c>
      <c r="AP121">
        <v>0</v>
      </c>
      <c r="AQ121">
        <v>156.88113129999999</v>
      </c>
      <c r="AR121">
        <v>0</v>
      </c>
      <c r="AS121">
        <f>_xlfn.XLOOKUP(B121,InstallDate!$H$2:$H$389,InstallDate!$BE$2:$BE$389)</f>
        <v>0</v>
      </c>
      <c r="AT121">
        <f t="shared" si="9"/>
        <v>0</v>
      </c>
      <c r="AU121">
        <f t="shared" si="7"/>
        <v>6.207339596884285E-2</v>
      </c>
      <c r="AV121">
        <f t="shared" si="10"/>
        <v>0</v>
      </c>
      <c r="AW121">
        <f t="shared" si="11"/>
        <v>0</v>
      </c>
      <c r="AX121">
        <f t="shared" si="12"/>
        <v>2</v>
      </c>
      <c r="AY121">
        <f t="shared" si="13"/>
        <v>0</v>
      </c>
      <c r="AZ121">
        <f t="shared" si="8"/>
        <v>2</v>
      </c>
    </row>
    <row r="122" spans="1:52" x14ac:dyDescent="0.2">
      <c r="A122">
        <v>121</v>
      </c>
      <c r="B122" t="s">
        <v>169</v>
      </c>
      <c r="C122">
        <v>0</v>
      </c>
      <c r="H122" t="s">
        <v>169</v>
      </c>
      <c r="I122" t="s">
        <v>158</v>
      </c>
      <c r="Q122" t="s">
        <v>169</v>
      </c>
      <c r="R122">
        <v>450.31872179999999</v>
      </c>
      <c r="S122">
        <v>6</v>
      </c>
      <c r="T122">
        <v>130</v>
      </c>
      <c r="V122">
        <v>0</v>
      </c>
      <c r="W122">
        <v>0</v>
      </c>
      <c r="X122" t="s">
        <v>169</v>
      </c>
      <c r="Y122">
        <v>-1</v>
      </c>
      <c r="Z122">
        <v>6</v>
      </c>
      <c r="AA122">
        <v>450.32</v>
      </c>
      <c r="AB122">
        <v>130</v>
      </c>
      <c r="AC122">
        <v>8.2899999999999991</v>
      </c>
      <c r="AD122">
        <v>0.09</v>
      </c>
      <c r="AE122">
        <v>0</v>
      </c>
      <c r="AF122">
        <v>0.01</v>
      </c>
      <c r="AG122">
        <v>1</v>
      </c>
      <c r="AH122">
        <v>8.2899999999999991</v>
      </c>
      <c r="AI122">
        <v>8.2899999999999991</v>
      </c>
      <c r="AJ122">
        <v>8.2899999999999991</v>
      </c>
      <c r="AK122">
        <v>0.09</v>
      </c>
      <c r="AL122">
        <v>0.09</v>
      </c>
      <c r="AM122">
        <v>0.09</v>
      </c>
      <c r="AN122">
        <v>0</v>
      </c>
      <c r="AO122">
        <v>0</v>
      </c>
      <c r="AP122">
        <v>0</v>
      </c>
      <c r="AQ122">
        <v>450.31872179999999</v>
      </c>
      <c r="AR122">
        <v>0</v>
      </c>
      <c r="AS122">
        <f>_xlfn.XLOOKUP(B122,InstallDate!$H$2:$H$389,InstallDate!$BE$2:$BE$389)</f>
        <v>0</v>
      </c>
      <c r="AT122">
        <f t="shared" si="9"/>
        <v>0</v>
      </c>
      <c r="AU122">
        <f t="shared" si="7"/>
        <v>6.6570304344334696E-2</v>
      </c>
      <c r="AV122">
        <f t="shared" si="10"/>
        <v>0</v>
      </c>
      <c r="AW122">
        <f t="shared" si="11"/>
        <v>0</v>
      </c>
      <c r="AX122">
        <f t="shared" si="12"/>
        <v>2</v>
      </c>
      <c r="AY122">
        <f t="shared" si="13"/>
        <v>0</v>
      </c>
      <c r="AZ122">
        <f t="shared" si="8"/>
        <v>2</v>
      </c>
    </row>
    <row r="123" spans="1:52" x14ac:dyDescent="0.2">
      <c r="A123">
        <v>122</v>
      </c>
      <c r="B123" t="s">
        <v>170</v>
      </c>
      <c r="C123">
        <v>0</v>
      </c>
      <c r="H123" t="s">
        <v>170</v>
      </c>
      <c r="I123" t="s">
        <v>158</v>
      </c>
      <c r="Q123" t="s">
        <v>170</v>
      </c>
      <c r="R123">
        <v>526.90020549999997</v>
      </c>
      <c r="S123">
        <v>6</v>
      </c>
      <c r="T123">
        <v>130</v>
      </c>
      <c r="V123">
        <v>0</v>
      </c>
      <c r="W123">
        <v>0</v>
      </c>
      <c r="X123" t="s">
        <v>170</v>
      </c>
      <c r="Y123">
        <v>-1</v>
      </c>
      <c r="Z123">
        <v>6</v>
      </c>
      <c r="AA123">
        <v>526.9</v>
      </c>
      <c r="AB123">
        <v>130</v>
      </c>
      <c r="AC123">
        <v>10.51</v>
      </c>
      <c r="AD123">
        <v>0.12</v>
      </c>
      <c r="AE123">
        <v>0.01</v>
      </c>
      <c r="AF123">
        <v>0.02</v>
      </c>
      <c r="AG123">
        <v>1</v>
      </c>
      <c r="AH123">
        <v>10.51</v>
      </c>
      <c r="AI123">
        <v>10.51</v>
      </c>
      <c r="AJ123">
        <v>10.51</v>
      </c>
      <c r="AK123">
        <v>0.12</v>
      </c>
      <c r="AL123">
        <v>0.12</v>
      </c>
      <c r="AM123">
        <v>0.12</v>
      </c>
      <c r="AN123">
        <v>0.01</v>
      </c>
      <c r="AO123">
        <v>0.01</v>
      </c>
      <c r="AP123">
        <v>0.01</v>
      </c>
      <c r="AQ123">
        <v>526.90020549999997</v>
      </c>
      <c r="AR123">
        <v>0</v>
      </c>
      <c r="AS123">
        <f>_xlfn.XLOOKUP(B123,InstallDate!$H$2:$H$389,InstallDate!$BE$2:$BE$389)</f>
        <v>0</v>
      </c>
      <c r="AT123">
        <f t="shared" si="9"/>
        <v>0</v>
      </c>
      <c r="AU123">
        <f t="shared" si="7"/>
        <v>8.4397333975748806E-2</v>
      </c>
      <c r="AV123">
        <f t="shared" si="10"/>
        <v>0</v>
      </c>
      <c r="AW123">
        <f t="shared" si="11"/>
        <v>0</v>
      </c>
      <c r="AX123">
        <f t="shared" si="12"/>
        <v>2</v>
      </c>
      <c r="AY123">
        <f t="shared" si="13"/>
        <v>0</v>
      </c>
      <c r="AZ123">
        <f t="shared" si="8"/>
        <v>2</v>
      </c>
    </row>
    <row r="124" spans="1:52" x14ac:dyDescent="0.2">
      <c r="A124">
        <v>123</v>
      </c>
      <c r="B124" t="s">
        <v>171</v>
      </c>
      <c r="C124">
        <v>0</v>
      </c>
      <c r="H124" t="s">
        <v>171</v>
      </c>
      <c r="I124" t="s">
        <v>158</v>
      </c>
      <c r="Q124" t="s">
        <v>171</v>
      </c>
      <c r="R124">
        <v>516.18830720000005</v>
      </c>
      <c r="S124">
        <v>6</v>
      </c>
      <c r="T124">
        <v>130</v>
      </c>
      <c r="V124">
        <v>0</v>
      </c>
      <c r="W124">
        <v>0</v>
      </c>
      <c r="X124" t="s">
        <v>171</v>
      </c>
      <c r="Y124">
        <v>-1</v>
      </c>
      <c r="Z124">
        <v>6</v>
      </c>
      <c r="AA124">
        <v>516.19000000000005</v>
      </c>
      <c r="AB124">
        <v>130</v>
      </c>
      <c r="AC124">
        <v>11.34</v>
      </c>
      <c r="AD124">
        <v>0.13</v>
      </c>
      <c r="AE124">
        <v>0.01</v>
      </c>
      <c r="AF124">
        <v>0.02</v>
      </c>
      <c r="AG124">
        <v>1</v>
      </c>
      <c r="AH124">
        <v>11.34</v>
      </c>
      <c r="AI124">
        <v>11.34</v>
      </c>
      <c r="AJ124">
        <v>11.34</v>
      </c>
      <c r="AK124">
        <v>0.13</v>
      </c>
      <c r="AL124">
        <v>0.13</v>
      </c>
      <c r="AM124">
        <v>0.13</v>
      </c>
      <c r="AN124">
        <v>0.01</v>
      </c>
      <c r="AO124">
        <v>0.01</v>
      </c>
      <c r="AP124">
        <v>0.01</v>
      </c>
      <c r="AQ124">
        <v>516.18830720000005</v>
      </c>
      <c r="AR124">
        <v>0</v>
      </c>
      <c r="AS124">
        <f>_xlfn.XLOOKUP(B124,InstallDate!$H$2:$H$389,InstallDate!$BE$2:$BE$389)</f>
        <v>0</v>
      </c>
      <c r="AT124">
        <f t="shared" si="9"/>
        <v>0</v>
      </c>
      <c r="AU124">
        <f t="shared" si="7"/>
        <v>9.1062394603709948E-2</v>
      </c>
      <c r="AV124">
        <f t="shared" si="10"/>
        <v>0</v>
      </c>
      <c r="AW124">
        <f t="shared" si="11"/>
        <v>0</v>
      </c>
      <c r="AX124">
        <f t="shared" si="12"/>
        <v>2</v>
      </c>
      <c r="AY124">
        <f t="shared" si="13"/>
        <v>0</v>
      </c>
      <c r="AZ124">
        <f t="shared" si="8"/>
        <v>2</v>
      </c>
    </row>
    <row r="125" spans="1:52" x14ac:dyDescent="0.2">
      <c r="A125">
        <v>124</v>
      </c>
      <c r="B125" t="s">
        <v>172</v>
      </c>
      <c r="C125">
        <v>0</v>
      </c>
      <c r="H125" t="s">
        <v>172</v>
      </c>
      <c r="I125" t="s">
        <v>158</v>
      </c>
      <c r="Q125" t="s">
        <v>172</v>
      </c>
      <c r="R125">
        <v>342.58339969999997</v>
      </c>
      <c r="S125">
        <v>6</v>
      </c>
      <c r="T125">
        <v>130</v>
      </c>
      <c r="V125">
        <v>0</v>
      </c>
      <c r="W125">
        <v>0</v>
      </c>
      <c r="X125" t="s">
        <v>172</v>
      </c>
      <c r="Y125">
        <v>-1</v>
      </c>
      <c r="Z125">
        <v>6</v>
      </c>
      <c r="AA125">
        <v>342.58</v>
      </c>
      <c r="AB125">
        <v>130</v>
      </c>
      <c r="AC125">
        <v>12.59</v>
      </c>
      <c r="AD125">
        <v>0.14000000000000001</v>
      </c>
      <c r="AE125">
        <v>0.01</v>
      </c>
      <c r="AF125">
        <v>0.02</v>
      </c>
      <c r="AG125">
        <v>1</v>
      </c>
      <c r="AH125">
        <v>12.59</v>
      </c>
      <c r="AI125">
        <v>12.59</v>
      </c>
      <c r="AJ125">
        <v>12.59</v>
      </c>
      <c r="AK125">
        <v>0.14000000000000001</v>
      </c>
      <c r="AL125">
        <v>0.14000000000000001</v>
      </c>
      <c r="AM125">
        <v>0.14000000000000001</v>
      </c>
      <c r="AN125">
        <v>0.01</v>
      </c>
      <c r="AO125">
        <v>0.01</v>
      </c>
      <c r="AP125">
        <v>0.01</v>
      </c>
      <c r="AQ125">
        <v>342.58339969999997</v>
      </c>
      <c r="AR125">
        <v>0</v>
      </c>
      <c r="AS125">
        <f>_xlfn.XLOOKUP(B125,InstallDate!$H$2:$H$389,InstallDate!$BE$2:$BE$389)</f>
        <v>0</v>
      </c>
      <c r="AT125">
        <f t="shared" si="9"/>
        <v>0</v>
      </c>
      <c r="AU125">
        <f t="shared" si="7"/>
        <v>0.10110013651328997</v>
      </c>
      <c r="AV125">
        <f t="shared" si="10"/>
        <v>0</v>
      </c>
      <c r="AW125">
        <f t="shared" si="11"/>
        <v>0</v>
      </c>
      <c r="AX125">
        <f t="shared" si="12"/>
        <v>2</v>
      </c>
      <c r="AY125">
        <f t="shared" si="13"/>
        <v>0</v>
      </c>
      <c r="AZ125">
        <f t="shared" si="8"/>
        <v>2</v>
      </c>
    </row>
    <row r="126" spans="1:52" x14ac:dyDescent="0.2">
      <c r="A126">
        <v>125</v>
      </c>
      <c r="B126" t="s">
        <v>173</v>
      </c>
      <c r="C126">
        <v>0</v>
      </c>
      <c r="H126" t="s">
        <v>173</v>
      </c>
      <c r="I126" t="s">
        <v>158</v>
      </c>
      <c r="Q126" t="s">
        <v>173</v>
      </c>
      <c r="R126">
        <v>41.49223507</v>
      </c>
      <c r="S126">
        <v>6</v>
      </c>
      <c r="T126">
        <v>130</v>
      </c>
      <c r="V126">
        <v>0</v>
      </c>
      <c r="W126">
        <v>0</v>
      </c>
      <c r="X126" t="s">
        <v>173</v>
      </c>
      <c r="Y126">
        <v>1</v>
      </c>
      <c r="Z126">
        <v>6</v>
      </c>
      <c r="AA126">
        <v>41.49</v>
      </c>
      <c r="AB126">
        <v>130</v>
      </c>
      <c r="AC126">
        <v>5.28</v>
      </c>
      <c r="AD126">
        <v>0.06</v>
      </c>
      <c r="AE126">
        <v>0</v>
      </c>
      <c r="AF126">
        <v>0</v>
      </c>
      <c r="AG126">
        <v>1</v>
      </c>
      <c r="AH126">
        <v>5.28</v>
      </c>
      <c r="AI126">
        <v>5.28</v>
      </c>
      <c r="AJ126">
        <v>5.28</v>
      </c>
      <c r="AK126">
        <v>0.06</v>
      </c>
      <c r="AL126">
        <v>0.06</v>
      </c>
      <c r="AM126">
        <v>0.06</v>
      </c>
      <c r="AN126">
        <v>0</v>
      </c>
      <c r="AO126">
        <v>0</v>
      </c>
      <c r="AP126">
        <v>0</v>
      </c>
      <c r="AQ126">
        <v>41.49223507</v>
      </c>
      <c r="AR126">
        <v>0</v>
      </c>
      <c r="AS126">
        <f>_xlfn.XLOOKUP(B126,InstallDate!$H$2:$H$389,InstallDate!$BE$2:$BE$389)</f>
        <v>0</v>
      </c>
      <c r="AT126">
        <f t="shared" si="9"/>
        <v>0</v>
      </c>
      <c r="AU126">
        <f t="shared" si="7"/>
        <v>4.2399421826066007E-2</v>
      </c>
      <c r="AV126">
        <f t="shared" si="10"/>
        <v>0</v>
      </c>
      <c r="AW126">
        <f t="shared" si="11"/>
        <v>0</v>
      </c>
      <c r="AX126">
        <f t="shared" si="12"/>
        <v>2</v>
      </c>
      <c r="AY126">
        <f t="shared" si="13"/>
        <v>0</v>
      </c>
      <c r="AZ126">
        <f t="shared" si="8"/>
        <v>2</v>
      </c>
    </row>
    <row r="127" spans="1:52" x14ac:dyDescent="0.2">
      <c r="A127">
        <v>126</v>
      </c>
      <c r="B127" t="s">
        <v>174</v>
      </c>
      <c r="C127">
        <v>0</v>
      </c>
      <c r="H127" t="s">
        <v>174</v>
      </c>
      <c r="I127" t="s">
        <v>158</v>
      </c>
      <c r="Q127" t="s">
        <v>174</v>
      </c>
      <c r="R127">
        <v>476.6290482</v>
      </c>
      <c r="S127">
        <v>6</v>
      </c>
      <c r="T127">
        <v>130</v>
      </c>
      <c r="V127">
        <v>0</v>
      </c>
      <c r="W127">
        <v>0</v>
      </c>
      <c r="X127" t="s">
        <v>174</v>
      </c>
      <c r="Y127">
        <v>1</v>
      </c>
      <c r="Z127">
        <v>6</v>
      </c>
      <c r="AA127">
        <v>476.63</v>
      </c>
      <c r="AB127">
        <v>130</v>
      </c>
      <c r="AC127">
        <v>5.28</v>
      </c>
      <c r="AD127">
        <v>0.06</v>
      </c>
      <c r="AE127">
        <v>0</v>
      </c>
      <c r="AF127">
        <v>0</v>
      </c>
      <c r="AG127">
        <v>1</v>
      </c>
      <c r="AH127">
        <v>5.28</v>
      </c>
      <c r="AI127">
        <v>5.28</v>
      </c>
      <c r="AJ127">
        <v>5.28</v>
      </c>
      <c r="AK127">
        <v>0.06</v>
      </c>
      <c r="AL127">
        <v>0.06</v>
      </c>
      <c r="AM127">
        <v>0.06</v>
      </c>
      <c r="AN127">
        <v>0</v>
      </c>
      <c r="AO127">
        <v>0</v>
      </c>
      <c r="AP127">
        <v>0</v>
      </c>
      <c r="AQ127">
        <v>476.6290482</v>
      </c>
      <c r="AR127">
        <v>0</v>
      </c>
      <c r="AS127">
        <f>_xlfn.XLOOKUP(B127,InstallDate!$H$2:$H$389,InstallDate!$BE$2:$BE$389)</f>
        <v>0</v>
      </c>
      <c r="AT127">
        <f t="shared" si="9"/>
        <v>0</v>
      </c>
      <c r="AU127">
        <f t="shared" si="7"/>
        <v>4.2399421826066007E-2</v>
      </c>
      <c r="AV127">
        <f t="shared" si="10"/>
        <v>0</v>
      </c>
      <c r="AW127">
        <f t="shared" si="11"/>
        <v>0</v>
      </c>
      <c r="AX127">
        <f t="shared" si="12"/>
        <v>2</v>
      </c>
      <c r="AY127">
        <f t="shared" si="13"/>
        <v>0</v>
      </c>
      <c r="AZ127">
        <f t="shared" si="8"/>
        <v>2</v>
      </c>
    </row>
    <row r="128" spans="1:52" x14ac:dyDescent="0.2">
      <c r="A128">
        <v>127</v>
      </c>
      <c r="B128" t="s">
        <v>175</v>
      </c>
      <c r="C128">
        <v>0</v>
      </c>
      <c r="H128" t="s">
        <v>175</v>
      </c>
      <c r="I128" t="s">
        <v>158</v>
      </c>
      <c r="Q128" t="s">
        <v>175</v>
      </c>
      <c r="R128">
        <v>390.25281289999998</v>
      </c>
      <c r="S128">
        <v>6</v>
      </c>
      <c r="T128">
        <v>130</v>
      </c>
      <c r="V128">
        <v>0</v>
      </c>
      <c r="W128">
        <v>0</v>
      </c>
      <c r="X128" t="s">
        <v>175</v>
      </c>
      <c r="Y128">
        <v>1</v>
      </c>
      <c r="Z128">
        <v>6</v>
      </c>
      <c r="AA128">
        <v>390.25</v>
      </c>
      <c r="AB128">
        <v>130</v>
      </c>
      <c r="AC128">
        <v>2.09</v>
      </c>
      <c r="AD128">
        <v>0.02</v>
      </c>
      <c r="AE128">
        <v>0</v>
      </c>
      <c r="AF128">
        <v>0</v>
      </c>
      <c r="AG128">
        <v>1</v>
      </c>
      <c r="AH128">
        <v>2.09</v>
      </c>
      <c r="AI128">
        <v>2.09</v>
      </c>
      <c r="AJ128">
        <v>2.09</v>
      </c>
      <c r="AK128">
        <v>0.02</v>
      </c>
      <c r="AL128">
        <v>0.02</v>
      </c>
      <c r="AM128">
        <v>0.02</v>
      </c>
      <c r="AN128">
        <v>0</v>
      </c>
      <c r="AO128">
        <v>0</v>
      </c>
      <c r="AP128">
        <v>0</v>
      </c>
      <c r="AQ128">
        <v>390.25281289999998</v>
      </c>
      <c r="AR128">
        <v>0</v>
      </c>
      <c r="AS128">
        <f>_xlfn.XLOOKUP(B128,InstallDate!$H$2:$H$389,InstallDate!$BE$2:$BE$389)</f>
        <v>0</v>
      </c>
      <c r="AT128">
        <f t="shared" si="9"/>
        <v>0</v>
      </c>
      <c r="AU128">
        <f t="shared" si="7"/>
        <v>1.6783104472817792E-2</v>
      </c>
      <c r="AV128">
        <f t="shared" si="10"/>
        <v>0</v>
      </c>
      <c r="AW128">
        <f t="shared" si="11"/>
        <v>0</v>
      </c>
      <c r="AX128">
        <f t="shared" si="12"/>
        <v>0</v>
      </c>
      <c r="AY128">
        <f t="shared" si="13"/>
        <v>1</v>
      </c>
      <c r="AZ128">
        <f t="shared" si="8"/>
        <v>1</v>
      </c>
    </row>
    <row r="129" spans="1:52" x14ac:dyDescent="0.2">
      <c r="A129">
        <v>128</v>
      </c>
      <c r="B129" t="s">
        <v>176</v>
      </c>
      <c r="C129">
        <v>0</v>
      </c>
      <c r="H129" t="s">
        <v>176</v>
      </c>
      <c r="I129" t="s">
        <v>158</v>
      </c>
      <c r="Q129" t="s">
        <v>176</v>
      </c>
      <c r="R129">
        <v>26.67392697</v>
      </c>
      <c r="S129">
        <v>6</v>
      </c>
      <c r="T129">
        <v>130</v>
      </c>
      <c r="V129">
        <v>0</v>
      </c>
      <c r="W129">
        <v>0</v>
      </c>
      <c r="X129" t="s">
        <v>176</v>
      </c>
      <c r="Y129">
        <v>1</v>
      </c>
      <c r="Z129">
        <v>6</v>
      </c>
      <c r="AA129">
        <v>26.67</v>
      </c>
      <c r="AB129">
        <v>130</v>
      </c>
      <c r="AC129">
        <v>1.39</v>
      </c>
      <c r="AD129">
        <v>0.02</v>
      </c>
      <c r="AE129">
        <v>0</v>
      </c>
      <c r="AF129">
        <v>0</v>
      </c>
      <c r="AG129">
        <v>1</v>
      </c>
      <c r="AH129">
        <v>1.39</v>
      </c>
      <c r="AI129">
        <v>1.39</v>
      </c>
      <c r="AJ129">
        <v>1.39</v>
      </c>
      <c r="AK129">
        <v>0.02</v>
      </c>
      <c r="AL129">
        <v>0.02</v>
      </c>
      <c r="AM129">
        <v>0.02</v>
      </c>
      <c r="AN129">
        <v>0</v>
      </c>
      <c r="AO129">
        <v>0</v>
      </c>
      <c r="AP129">
        <v>0</v>
      </c>
      <c r="AQ129">
        <v>26.67392697</v>
      </c>
      <c r="AR129">
        <v>0</v>
      </c>
      <c r="AS129">
        <f>_xlfn.XLOOKUP(B129,InstallDate!$H$2:$H$389,InstallDate!$BE$2:$BE$389)</f>
        <v>0</v>
      </c>
      <c r="AT129">
        <f t="shared" si="9"/>
        <v>0</v>
      </c>
      <c r="AU129">
        <f t="shared" si="7"/>
        <v>1.1161969003452982E-2</v>
      </c>
      <c r="AV129">
        <f t="shared" si="10"/>
        <v>0</v>
      </c>
      <c r="AW129">
        <f t="shared" si="11"/>
        <v>0</v>
      </c>
      <c r="AX129">
        <f t="shared" si="12"/>
        <v>0</v>
      </c>
      <c r="AY129">
        <f t="shared" si="13"/>
        <v>1</v>
      </c>
      <c r="AZ129">
        <f t="shared" si="8"/>
        <v>1</v>
      </c>
    </row>
    <row r="130" spans="1:52" x14ac:dyDescent="0.2">
      <c r="A130">
        <v>129</v>
      </c>
      <c r="B130" t="s">
        <v>177</v>
      </c>
      <c r="C130">
        <v>0</v>
      </c>
      <c r="H130" t="s">
        <v>177</v>
      </c>
      <c r="Q130" t="s">
        <v>177</v>
      </c>
      <c r="R130">
        <v>641</v>
      </c>
      <c r="S130">
        <v>6</v>
      </c>
      <c r="T130">
        <v>130</v>
      </c>
      <c r="U130">
        <v>0</v>
      </c>
      <c r="V130">
        <v>0</v>
      </c>
      <c r="W130">
        <v>0</v>
      </c>
      <c r="X130" t="s">
        <v>177</v>
      </c>
      <c r="Y130">
        <v>1</v>
      </c>
      <c r="Z130">
        <v>6</v>
      </c>
      <c r="AA130">
        <v>641</v>
      </c>
      <c r="AB130">
        <v>130</v>
      </c>
      <c r="AC130">
        <v>1.39</v>
      </c>
      <c r="AD130">
        <v>0.02</v>
      </c>
      <c r="AE130">
        <v>0</v>
      </c>
      <c r="AF130">
        <v>0</v>
      </c>
      <c r="AG130">
        <v>1</v>
      </c>
      <c r="AH130">
        <v>1.39</v>
      </c>
      <c r="AI130">
        <v>1.39</v>
      </c>
      <c r="AJ130">
        <v>1.39</v>
      </c>
      <c r="AK130">
        <v>0.02</v>
      </c>
      <c r="AL130">
        <v>0.02</v>
      </c>
      <c r="AM130">
        <v>0.02</v>
      </c>
      <c r="AN130">
        <v>0</v>
      </c>
      <c r="AO130">
        <v>0</v>
      </c>
      <c r="AP130">
        <v>0</v>
      </c>
      <c r="AQ130">
        <v>614.08345359999998</v>
      </c>
      <c r="AR130">
        <v>0</v>
      </c>
      <c r="AS130">
        <f>_xlfn.XLOOKUP(B130,InstallDate!$H$2:$H$389,InstallDate!$BE$2:$BE$389)</f>
        <v>0</v>
      </c>
      <c r="AT130">
        <f t="shared" si="9"/>
        <v>0</v>
      </c>
      <c r="AU130">
        <f t="shared" ref="AU130:AU193" si="14">AC130/MAX($AC$2:$AC$389)</f>
        <v>1.1161969003452982E-2</v>
      </c>
      <c r="AV130">
        <f t="shared" si="10"/>
        <v>0</v>
      </c>
      <c r="AW130">
        <f t="shared" si="11"/>
        <v>0</v>
      </c>
      <c r="AX130">
        <f t="shared" si="12"/>
        <v>0</v>
      </c>
      <c r="AY130">
        <f t="shared" si="13"/>
        <v>1</v>
      </c>
      <c r="AZ130">
        <f t="shared" ref="AZ130:AZ193" si="15">IF(AND(MAX(AV130:AY130)&gt;2,AS130=1),3,IF(AND(MAX(AV130:AY130)&lt;=2,AS130=1),2,IF(AND(MAX(AV130:AY130)&gt;1,AS130=0),2,1)))</f>
        <v>1</v>
      </c>
    </row>
    <row r="131" spans="1:52" x14ac:dyDescent="0.2">
      <c r="A131">
        <v>130</v>
      </c>
      <c r="B131" t="s">
        <v>178</v>
      </c>
      <c r="C131">
        <v>0</v>
      </c>
      <c r="H131" t="s">
        <v>178</v>
      </c>
      <c r="I131" t="s">
        <v>158</v>
      </c>
      <c r="Q131" t="s">
        <v>178</v>
      </c>
      <c r="R131">
        <v>378.2652544</v>
      </c>
      <c r="S131">
        <v>6</v>
      </c>
      <c r="T131">
        <v>130</v>
      </c>
      <c r="V131">
        <v>0</v>
      </c>
      <c r="W131">
        <v>0</v>
      </c>
      <c r="X131" t="s">
        <v>178</v>
      </c>
      <c r="Y131">
        <v>1</v>
      </c>
      <c r="Z131">
        <v>6</v>
      </c>
      <c r="AA131">
        <v>378.27</v>
      </c>
      <c r="AB131">
        <v>130</v>
      </c>
      <c r="AC131">
        <v>1.39</v>
      </c>
      <c r="AD131">
        <v>0.02</v>
      </c>
      <c r="AE131">
        <v>0</v>
      </c>
      <c r="AF131">
        <v>0</v>
      </c>
      <c r="AG131">
        <v>1</v>
      </c>
      <c r="AH131">
        <v>1.39</v>
      </c>
      <c r="AI131">
        <v>1.39</v>
      </c>
      <c r="AJ131">
        <v>1.39</v>
      </c>
      <c r="AK131">
        <v>0.02</v>
      </c>
      <c r="AL131">
        <v>0.02</v>
      </c>
      <c r="AM131">
        <v>0.02</v>
      </c>
      <c r="AN131">
        <v>0</v>
      </c>
      <c r="AO131">
        <v>0</v>
      </c>
      <c r="AP131">
        <v>0</v>
      </c>
      <c r="AQ131">
        <v>378.2652544</v>
      </c>
      <c r="AR131">
        <v>0</v>
      </c>
      <c r="AS131">
        <f>_xlfn.XLOOKUP(B131,InstallDate!$H$2:$H$389,InstallDate!$BE$2:$BE$389)</f>
        <v>0</v>
      </c>
      <c r="AT131">
        <f t="shared" ref="AT131:AT194" si="16">IF(COUNTIF(AR131:AS131,1)=0,0,SUM(AR131:AS131)/COUNTIF(AR131:AS131,1))</f>
        <v>0</v>
      </c>
      <c r="AU131">
        <f t="shared" si="14"/>
        <v>1.1161969003452982E-2</v>
      </c>
      <c r="AV131">
        <f t="shared" ref="AV131:AV194" si="17">IF($AU131&gt;=_xlfn.PERCENTILE.INC($AU$2:$AU$369,AV$1),4,0)</f>
        <v>0</v>
      </c>
      <c r="AW131">
        <f t="shared" ref="AW131:AW194" si="18">IF($AU131&gt;=_xlfn.PERCENTILE.INC($AU$2:$AU$369,AW$1),3,0)</f>
        <v>0</v>
      </c>
      <c r="AX131">
        <f t="shared" ref="AX131:AX194" si="19">IF($AU131&gt;=_xlfn.PERCENTILE.INC($AU$2:$AU$369,AX$1),2,0)</f>
        <v>0</v>
      </c>
      <c r="AY131">
        <f t="shared" ref="AY131:AY194" si="20">IF(SUM(AV131:AX131)&lt;1,1,0)</f>
        <v>1</v>
      </c>
      <c r="AZ131">
        <f t="shared" si="15"/>
        <v>1</v>
      </c>
    </row>
    <row r="132" spans="1:52" x14ac:dyDescent="0.2">
      <c r="A132">
        <v>131</v>
      </c>
      <c r="B132" t="s">
        <v>179</v>
      </c>
      <c r="C132">
        <v>0</v>
      </c>
      <c r="H132" t="s">
        <v>179</v>
      </c>
      <c r="I132" t="s">
        <v>148</v>
      </c>
      <c r="Q132" t="s">
        <v>179</v>
      </c>
      <c r="R132">
        <v>22.167174540000001</v>
      </c>
      <c r="S132">
        <v>6</v>
      </c>
      <c r="T132">
        <v>130</v>
      </c>
      <c r="V132">
        <v>0</v>
      </c>
      <c r="W132">
        <v>0</v>
      </c>
      <c r="X132" t="s">
        <v>179</v>
      </c>
      <c r="Y132">
        <v>-1</v>
      </c>
      <c r="Z132">
        <v>6</v>
      </c>
      <c r="AA132">
        <v>22.17</v>
      </c>
      <c r="AB132">
        <v>130</v>
      </c>
      <c r="AC132">
        <v>18.010000000000002</v>
      </c>
      <c r="AD132">
        <v>0.2</v>
      </c>
      <c r="AE132">
        <v>0</v>
      </c>
      <c r="AF132">
        <v>0.04</v>
      </c>
      <c r="AG132">
        <v>1</v>
      </c>
      <c r="AH132">
        <v>18.010000000000002</v>
      </c>
      <c r="AI132">
        <v>18.010000000000002</v>
      </c>
      <c r="AJ132">
        <v>18.010000000000002</v>
      </c>
      <c r="AK132">
        <v>0.2</v>
      </c>
      <c r="AL132">
        <v>0.2</v>
      </c>
      <c r="AM132">
        <v>0.2</v>
      </c>
      <c r="AN132">
        <v>0</v>
      </c>
      <c r="AO132">
        <v>0</v>
      </c>
      <c r="AP132">
        <v>0</v>
      </c>
      <c r="AQ132">
        <v>22.167174540000001</v>
      </c>
      <c r="AR132">
        <v>0</v>
      </c>
      <c r="AS132">
        <f>_xlfn.XLOOKUP(B132,InstallDate!$H$2:$H$389,InstallDate!$BE$2:$BE$389)</f>
        <v>0</v>
      </c>
      <c r="AT132">
        <f t="shared" si="16"/>
        <v>0</v>
      </c>
      <c r="AU132">
        <f t="shared" si="14"/>
        <v>0.14462378543322896</v>
      </c>
      <c r="AV132">
        <f t="shared" si="17"/>
        <v>0</v>
      </c>
      <c r="AW132">
        <f t="shared" si="18"/>
        <v>0</v>
      </c>
      <c r="AX132">
        <f t="shared" si="19"/>
        <v>2</v>
      </c>
      <c r="AY132">
        <f t="shared" si="20"/>
        <v>0</v>
      </c>
      <c r="AZ132">
        <f t="shared" si="15"/>
        <v>2</v>
      </c>
    </row>
    <row r="133" spans="1:52" x14ac:dyDescent="0.2">
      <c r="A133">
        <v>132</v>
      </c>
      <c r="B133" t="s">
        <v>180</v>
      </c>
      <c r="C133">
        <v>0</v>
      </c>
      <c r="H133" t="s">
        <v>180</v>
      </c>
      <c r="I133" t="s">
        <v>148</v>
      </c>
      <c r="Q133" t="s">
        <v>180</v>
      </c>
      <c r="R133">
        <v>287.34180609999999</v>
      </c>
      <c r="S133">
        <v>6</v>
      </c>
      <c r="T133">
        <v>130</v>
      </c>
      <c r="V133">
        <v>0</v>
      </c>
      <c r="W133">
        <v>0</v>
      </c>
      <c r="X133" t="s">
        <v>180</v>
      </c>
      <c r="Y133">
        <v>-1</v>
      </c>
      <c r="Z133">
        <v>6</v>
      </c>
      <c r="AA133">
        <v>287.33999999999997</v>
      </c>
      <c r="AB133">
        <v>130</v>
      </c>
      <c r="AC133">
        <v>18.29</v>
      </c>
      <c r="AD133">
        <v>0.21</v>
      </c>
      <c r="AE133">
        <v>0.01</v>
      </c>
      <c r="AF133">
        <v>0.04</v>
      </c>
      <c r="AG133">
        <v>1</v>
      </c>
      <c r="AH133">
        <v>18.29</v>
      </c>
      <c r="AI133">
        <v>18.29</v>
      </c>
      <c r="AJ133">
        <v>18.29</v>
      </c>
      <c r="AK133">
        <v>0.21</v>
      </c>
      <c r="AL133">
        <v>0.21</v>
      </c>
      <c r="AM133">
        <v>0.21</v>
      </c>
      <c r="AN133">
        <v>0.01</v>
      </c>
      <c r="AO133">
        <v>0.01</v>
      </c>
      <c r="AP133">
        <v>0.01</v>
      </c>
      <c r="AQ133">
        <v>287.34180609999999</v>
      </c>
      <c r="AR133">
        <v>0</v>
      </c>
      <c r="AS133">
        <f>_xlfn.XLOOKUP(B133,InstallDate!$H$2:$H$389,InstallDate!$BE$2:$BE$389)</f>
        <v>0</v>
      </c>
      <c r="AT133">
        <f t="shared" si="16"/>
        <v>0</v>
      </c>
      <c r="AU133">
        <f t="shared" si="14"/>
        <v>0.14687223962097487</v>
      </c>
      <c r="AV133">
        <f t="shared" si="17"/>
        <v>0</v>
      </c>
      <c r="AW133">
        <f t="shared" si="18"/>
        <v>0</v>
      </c>
      <c r="AX133">
        <f t="shared" si="19"/>
        <v>2</v>
      </c>
      <c r="AY133">
        <f t="shared" si="20"/>
        <v>0</v>
      </c>
      <c r="AZ133">
        <f t="shared" si="15"/>
        <v>2</v>
      </c>
    </row>
    <row r="134" spans="1:52" x14ac:dyDescent="0.2">
      <c r="A134">
        <v>133</v>
      </c>
      <c r="B134" t="s">
        <v>181</v>
      </c>
      <c r="C134">
        <v>0</v>
      </c>
      <c r="H134" t="s">
        <v>181</v>
      </c>
      <c r="I134" t="s">
        <v>148</v>
      </c>
      <c r="Q134" t="s">
        <v>181</v>
      </c>
      <c r="R134">
        <v>87.760714019999995</v>
      </c>
      <c r="S134">
        <v>6</v>
      </c>
      <c r="T134">
        <v>130</v>
      </c>
      <c r="V134">
        <v>0</v>
      </c>
      <c r="W134">
        <v>0</v>
      </c>
      <c r="X134" t="s">
        <v>181</v>
      </c>
      <c r="Y134">
        <v>-1</v>
      </c>
      <c r="Z134">
        <v>6</v>
      </c>
      <c r="AA134">
        <v>87.76</v>
      </c>
      <c r="AB134">
        <v>130</v>
      </c>
      <c r="AC134">
        <v>18.57</v>
      </c>
      <c r="AD134">
        <v>0.21</v>
      </c>
      <c r="AE134">
        <v>0</v>
      </c>
      <c r="AF134">
        <v>0.05</v>
      </c>
      <c r="AG134">
        <v>1</v>
      </c>
      <c r="AH134">
        <v>18.57</v>
      </c>
      <c r="AI134">
        <v>18.57</v>
      </c>
      <c r="AJ134">
        <v>18.57</v>
      </c>
      <c r="AK134">
        <v>0.21</v>
      </c>
      <c r="AL134">
        <v>0.21</v>
      </c>
      <c r="AM134">
        <v>0.21</v>
      </c>
      <c r="AN134">
        <v>0</v>
      </c>
      <c r="AO134">
        <v>0</v>
      </c>
      <c r="AP134">
        <v>0</v>
      </c>
      <c r="AQ134">
        <v>87.760714019999995</v>
      </c>
      <c r="AR134">
        <v>0</v>
      </c>
      <c r="AS134">
        <f>_xlfn.XLOOKUP(B134,InstallDate!$H$2:$H$389,InstallDate!$BE$2:$BE$389)</f>
        <v>0</v>
      </c>
      <c r="AT134">
        <f t="shared" si="16"/>
        <v>0</v>
      </c>
      <c r="AU134">
        <f t="shared" si="14"/>
        <v>0.14912069380872078</v>
      </c>
      <c r="AV134">
        <f t="shared" si="17"/>
        <v>0</v>
      </c>
      <c r="AW134">
        <f t="shared" si="18"/>
        <v>0</v>
      </c>
      <c r="AX134">
        <f t="shared" si="19"/>
        <v>2</v>
      </c>
      <c r="AY134">
        <f t="shared" si="20"/>
        <v>0</v>
      </c>
      <c r="AZ134">
        <f t="shared" si="15"/>
        <v>2</v>
      </c>
    </row>
    <row r="135" spans="1:52" x14ac:dyDescent="0.2">
      <c r="A135">
        <v>134</v>
      </c>
      <c r="B135" t="s">
        <v>182</v>
      </c>
      <c r="C135">
        <v>0</v>
      </c>
      <c r="H135" t="s">
        <v>182</v>
      </c>
      <c r="I135" t="s">
        <v>148</v>
      </c>
      <c r="Q135" t="s">
        <v>182</v>
      </c>
      <c r="R135">
        <v>50.64131166</v>
      </c>
      <c r="S135">
        <v>6</v>
      </c>
      <c r="T135">
        <v>130</v>
      </c>
      <c r="V135">
        <v>0</v>
      </c>
      <c r="W135">
        <v>0</v>
      </c>
      <c r="X135" t="s">
        <v>182</v>
      </c>
      <c r="Y135">
        <v>-1</v>
      </c>
      <c r="Z135">
        <v>6</v>
      </c>
      <c r="AA135">
        <v>50.64</v>
      </c>
      <c r="AB135">
        <v>130</v>
      </c>
      <c r="AC135">
        <v>19.260000000000002</v>
      </c>
      <c r="AD135">
        <v>0.22</v>
      </c>
      <c r="AE135">
        <v>0</v>
      </c>
      <c r="AF135">
        <v>0.05</v>
      </c>
      <c r="AG135">
        <v>1</v>
      </c>
      <c r="AH135">
        <v>19.260000000000002</v>
      </c>
      <c r="AI135">
        <v>19.260000000000002</v>
      </c>
      <c r="AJ135">
        <v>19.260000000000002</v>
      </c>
      <c r="AK135">
        <v>0.22</v>
      </c>
      <c r="AL135">
        <v>0.22</v>
      </c>
      <c r="AM135">
        <v>0.22</v>
      </c>
      <c r="AN135">
        <v>0</v>
      </c>
      <c r="AO135">
        <v>0</v>
      </c>
      <c r="AP135">
        <v>0</v>
      </c>
      <c r="AQ135">
        <v>50.64131166</v>
      </c>
      <c r="AR135">
        <v>0</v>
      </c>
      <c r="AS135">
        <f>_xlfn.XLOOKUP(B135,InstallDate!$H$2:$H$389,InstallDate!$BE$2:$BE$389)</f>
        <v>0</v>
      </c>
      <c r="AT135">
        <f t="shared" si="16"/>
        <v>0</v>
      </c>
      <c r="AU135">
        <f t="shared" si="14"/>
        <v>0.15466152734280897</v>
      </c>
      <c r="AV135">
        <f t="shared" si="17"/>
        <v>0</v>
      </c>
      <c r="AW135">
        <f t="shared" si="18"/>
        <v>0</v>
      </c>
      <c r="AX135">
        <f t="shared" si="19"/>
        <v>2</v>
      </c>
      <c r="AY135">
        <f t="shared" si="20"/>
        <v>0</v>
      </c>
      <c r="AZ135">
        <f t="shared" si="15"/>
        <v>2</v>
      </c>
    </row>
    <row r="136" spans="1:52" x14ac:dyDescent="0.2">
      <c r="A136">
        <v>135</v>
      </c>
      <c r="B136" t="s">
        <v>183</v>
      </c>
      <c r="C136">
        <v>0</v>
      </c>
      <c r="H136" t="s">
        <v>183</v>
      </c>
      <c r="I136" t="s">
        <v>148</v>
      </c>
      <c r="Q136" t="s">
        <v>183</v>
      </c>
      <c r="R136">
        <v>29.594033899999999</v>
      </c>
      <c r="S136">
        <v>6</v>
      </c>
      <c r="T136">
        <v>130</v>
      </c>
      <c r="V136">
        <v>0</v>
      </c>
      <c r="W136">
        <v>0</v>
      </c>
      <c r="X136" t="s">
        <v>183</v>
      </c>
      <c r="Y136">
        <v>-1</v>
      </c>
      <c r="Z136">
        <v>6</v>
      </c>
      <c r="AA136">
        <v>29.59</v>
      </c>
      <c r="AB136">
        <v>130</v>
      </c>
      <c r="AC136">
        <v>1.39</v>
      </c>
      <c r="AD136">
        <v>0.02</v>
      </c>
      <c r="AE136">
        <v>0</v>
      </c>
      <c r="AF136">
        <v>0</v>
      </c>
      <c r="AG136">
        <v>1</v>
      </c>
      <c r="AH136">
        <v>1.39</v>
      </c>
      <c r="AI136">
        <v>1.39</v>
      </c>
      <c r="AJ136">
        <v>1.39</v>
      </c>
      <c r="AK136">
        <v>0.02</v>
      </c>
      <c r="AL136">
        <v>0.02</v>
      </c>
      <c r="AM136">
        <v>0.02</v>
      </c>
      <c r="AN136">
        <v>0</v>
      </c>
      <c r="AO136">
        <v>0</v>
      </c>
      <c r="AP136">
        <v>0</v>
      </c>
      <c r="AQ136">
        <v>29.594033899999999</v>
      </c>
      <c r="AR136">
        <v>1</v>
      </c>
      <c r="AS136">
        <f>_xlfn.XLOOKUP(B136,InstallDate!$H$2:$H$389,InstallDate!$BE$2:$BE$389)</f>
        <v>1</v>
      </c>
      <c r="AT136">
        <f t="shared" si="16"/>
        <v>1</v>
      </c>
      <c r="AU136">
        <f t="shared" si="14"/>
        <v>1.1161969003452982E-2</v>
      </c>
      <c r="AV136">
        <f t="shared" si="17"/>
        <v>0</v>
      </c>
      <c r="AW136">
        <f t="shared" si="18"/>
        <v>0</v>
      </c>
      <c r="AX136">
        <f t="shared" si="19"/>
        <v>0</v>
      </c>
      <c r="AY136">
        <f t="shared" si="20"/>
        <v>1</v>
      </c>
      <c r="AZ136">
        <f t="shared" si="15"/>
        <v>2</v>
      </c>
    </row>
    <row r="137" spans="1:52" x14ac:dyDescent="0.2">
      <c r="A137">
        <v>136</v>
      </c>
      <c r="B137" t="s">
        <v>184</v>
      </c>
      <c r="C137">
        <v>0</v>
      </c>
      <c r="H137" t="s">
        <v>184</v>
      </c>
      <c r="I137" t="s">
        <v>148</v>
      </c>
      <c r="Q137" t="s">
        <v>184</v>
      </c>
      <c r="R137">
        <v>91.930452040000006</v>
      </c>
      <c r="S137">
        <v>6</v>
      </c>
      <c r="T137">
        <v>130</v>
      </c>
      <c r="V137">
        <v>0</v>
      </c>
      <c r="W137">
        <v>0</v>
      </c>
      <c r="X137" t="s">
        <v>184</v>
      </c>
      <c r="Y137">
        <v>-1</v>
      </c>
      <c r="Z137">
        <v>6</v>
      </c>
      <c r="AA137">
        <v>91.93</v>
      </c>
      <c r="AB137">
        <v>130</v>
      </c>
      <c r="AC137">
        <v>1.39</v>
      </c>
      <c r="AD137">
        <v>0.02</v>
      </c>
      <c r="AE137">
        <v>0</v>
      </c>
      <c r="AF137">
        <v>0</v>
      </c>
      <c r="AG137">
        <v>1</v>
      </c>
      <c r="AH137">
        <v>1.39</v>
      </c>
      <c r="AI137">
        <v>1.39</v>
      </c>
      <c r="AJ137">
        <v>1.39</v>
      </c>
      <c r="AK137">
        <v>0.02</v>
      </c>
      <c r="AL137">
        <v>0.02</v>
      </c>
      <c r="AM137">
        <v>0.02</v>
      </c>
      <c r="AN137">
        <v>0</v>
      </c>
      <c r="AO137">
        <v>0</v>
      </c>
      <c r="AP137">
        <v>0</v>
      </c>
      <c r="AQ137">
        <v>91.930452029999998</v>
      </c>
      <c r="AR137">
        <v>1</v>
      </c>
      <c r="AS137">
        <f>_xlfn.XLOOKUP(B137,InstallDate!$H$2:$H$389,InstallDate!$BE$2:$BE$389)</f>
        <v>1</v>
      </c>
      <c r="AT137">
        <f t="shared" si="16"/>
        <v>1</v>
      </c>
      <c r="AU137">
        <f t="shared" si="14"/>
        <v>1.1161969003452982E-2</v>
      </c>
      <c r="AV137">
        <f t="shared" si="17"/>
        <v>0</v>
      </c>
      <c r="AW137">
        <f t="shared" si="18"/>
        <v>0</v>
      </c>
      <c r="AX137">
        <f t="shared" si="19"/>
        <v>0</v>
      </c>
      <c r="AY137">
        <f t="shared" si="20"/>
        <v>1</v>
      </c>
      <c r="AZ137">
        <f t="shared" si="15"/>
        <v>2</v>
      </c>
    </row>
    <row r="138" spans="1:52" x14ac:dyDescent="0.2">
      <c r="A138">
        <v>137</v>
      </c>
      <c r="B138" t="s">
        <v>185</v>
      </c>
      <c r="C138">
        <v>0</v>
      </c>
      <c r="H138" t="s">
        <v>185</v>
      </c>
      <c r="I138" t="s">
        <v>148</v>
      </c>
      <c r="Q138" t="s">
        <v>185</v>
      </c>
      <c r="R138">
        <v>530.42279429999996</v>
      </c>
      <c r="S138">
        <v>6</v>
      </c>
      <c r="T138">
        <v>130</v>
      </c>
      <c r="V138">
        <v>0</v>
      </c>
      <c r="W138">
        <v>0</v>
      </c>
      <c r="X138" t="s">
        <v>185</v>
      </c>
      <c r="Y138">
        <v>-1</v>
      </c>
      <c r="Z138">
        <v>6</v>
      </c>
      <c r="AA138">
        <v>530.41999999999996</v>
      </c>
      <c r="AB138">
        <v>130</v>
      </c>
      <c r="AC138">
        <v>23.66</v>
      </c>
      <c r="AD138">
        <v>0.27</v>
      </c>
      <c r="AE138">
        <v>0.04</v>
      </c>
      <c r="AF138">
        <v>7.0000000000000007E-2</v>
      </c>
      <c r="AG138">
        <v>1</v>
      </c>
      <c r="AH138">
        <v>23.66</v>
      </c>
      <c r="AI138">
        <v>23.66</v>
      </c>
      <c r="AJ138">
        <v>23.66</v>
      </c>
      <c r="AK138">
        <v>0.27</v>
      </c>
      <c r="AL138">
        <v>0.27</v>
      </c>
      <c r="AM138">
        <v>0.27</v>
      </c>
      <c r="AN138">
        <v>0.04</v>
      </c>
      <c r="AO138">
        <v>0.04</v>
      </c>
      <c r="AP138">
        <v>0.04</v>
      </c>
      <c r="AQ138">
        <v>530.42279429999996</v>
      </c>
      <c r="AR138">
        <v>1</v>
      </c>
      <c r="AS138">
        <f>_xlfn.XLOOKUP(B138,InstallDate!$H$2:$H$389,InstallDate!$BE$2:$BE$389)</f>
        <v>0</v>
      </c>
      <c r="AT138">
        <f t="shared" si="16"/>
        <v>1</v>
      </c>
      <c r="AU138">
        <f t="shared" si="14"/>
        <v>0.18999437886453063</v>
      </c>
      <c r="AV138">
        <f t="shared" si="17"/>
        <v>0</v>
      </c>
      <c r="AW138">
        <f t="shared" si="18"/>
        <v>3</v>
      </c>
      <c r="AX138">
        <f t="shared" si="19"/>
        <v>2</v>
      </c>
      <c r="AY138">
        <f t="shared" si="20"/>
        <v>0</v>
      </c>
      <c r="AZ138">
        <f t="shared" si="15"/>
        <v>2</v>
      </c>
    </row>
    <row r="139" spans="1:52" x14ac:dyDescent="0.2">
      <c r="A139">
        <v>138</v>
      </c>
      <c r="B139" t="s">
        <v>186</v>
      </c>
      <c r="C139">
        <v>0</v>
      </c>
      <c r="H139" t="s">
        <v>186</v>
      </c>
      <c r="I139" t="s">
        <v>148</v>
      </c>
      <c r="Q139" t="s">
        <v>186</v>
      </c>
      <c r="R139">
        <v>32.0622489</v>
      </c>
      <c r="S139">
        <v>6</v>
      </c>
      <c r="T139">
        <v>130</v>
      </c>
      <c r="V139">
        <v>0</v>
      </c>
      <c r="W139">
        <v>0</v>
      </c>
      <c r="X139" t="s">
        <v>186</v>
      </c>
      <c r="Y139">
        <v>1</v>
      </c>
      <c r="Z139">
        <v>6</v>
      </c>
      <c r="AA139">
        <v>32.06</v>
      </c>
      <c r="AB139">
        <v>130</v>
      </c>
      <c r="AC139">
        <v>4.63</v>
      </c>
      <c r="AD139">
        <v>0.05</v>
      </c>
      <c r="AE139">
        <v>0</v>
      </c>
      <c r="AF139">
        <v>0</v>
      </c>
      <c r="AG139">
        <v>1</v>
      </c>
      <c r="AH139">
        <v>4.63</v>
      </c>
      <c r="AI139">
        <v>4.63</v>
      </c>
      <c r="AJ139">
        <v>4.63</v>
      </c>
      <c r="AK139">
        <v>0.05</v>
      </c>
      <c r="AL139">
        <v>0.05</v>
      </c>
      <c r="AM139">
        <v>0.05</v>
      </c>
      <c r="AN139">
        <v>0</v>
      </c>
      <c r="AO139">
        <v>0</v>
      </c>
      <c r="AP139">
        <v>0</v>
      </c>
      <c r="AQ139">
        <v>32.0622489</v>
      </c>
      <c r="AR139">
        <v>0</v>
      </c>
      <c r="AS139">
        <f>_xlfn.XLOOKUP(B139,InstallDate!$H$2:$H$389,InstallDate!$BE$2:$BE$389)</f>
        <v>1</v>
      </c>
      <c r="AT139">
        <f t="shared" si="16"/>
        <v>1</v>
      </c>
      <c r="AU139">
        <f t="shared" si="14"/>
        <v>3.7179796033084397E-2</v>
      </c>
      <c r="AV139">
        <f t="shared" si="17"/>
        <v>0</v>
      </c>
      <c r="AW139">
        <f t="shared" si="18"/>
        <v>0</v>
      </c>
      <c r="AX139">
        <f t="shared" si="19"/>
        <v>2</v>
      </c>
      <c r="AY139">
        <f t="shared" si="20"/>
        <v>0</v>
      </c>
      <c r="AZ139">
        <f t="shared" si="15"/>
        <v>2</v>
      </c>
    </row>
    <row r="140" spans="1:52" x14ac:dyDescent="0.2">
      <c r="A140">
        <v>139</v>
      </c>
      <c r="B140" t="s">
        <v>187</v>
      </c>
      <c r="C140">
        <v>0</v>
      </c>
      <c r="H140" t="s">
        <v>187</v>
      </c>
      <c r="I140" t="s">
        <v>148</v>
      </c>
      <c r="Q140" t="s">
        <v>187</v>
      </c>
      <c r="R140">
        <v>157.04671640000001</v>
      </c>
      <c r="S140">
        <v>6</v>
      </c>
      <c r="T140">
        <v>130</v>
      </c>
      <c r="V140">
        <v>0</v>
      </c>
      <c r="W140">
        <v>0</v>
      </c>
      <c r="X140" t="s">
        <v>187</v>
      </c>
      <c r="Y140">
        <v>1</v>
      </c>
      <c r="Z140">
        <v>6</v>
      </c>
      <c r="AA140">
        <v>157.05000000000001</v>
      </c>
      <c r="AB140">
        <v>130</v>
      </c>
      <c r="AC140">
        <v>4.63</v>
      </c>
      <c r="AD140">
        <v>0.05</v>
      </c>
      <c r="AE140">
        <v>0</v>
      </c>
      <c r="AF140">
        <v>0</v>
      </c>
      <c r="AG140">
        <v>1</v>
      </c>
      <c r="AH140">
        <v>4.63</v>
      </c>
      <c r="AI140">
        <v>4.63</v>
      </c>
      <c r="AJ140">
        <v>4.63</v>
      </c>
      <c r="AK140">
        <v>0.05</v>
      </c>
      <c r="AL140">
        <v>0.05</v>
      </c>
      <c r="AM140">
        <v>0.05</v>
      </c>
      <c r="AN140">
        <v>0</v>
      </c>
      <c r="AO140">
        <v>0</v>
      </c>
      <c r="AP140">
        <v>0</v>
      </c>
      <c r="AQ140">
        <v>157.04671640000001</v>
      </c>
      <c r="AR140">
        <v>0</v>
      </c>
      <c r="AS140">
        <f>_xlfn.XLOOKUP(B140,InstallDate!$H$2:$H$389,InstallDate!$BE$2:$BE$389)</f>
        <v>0</v>
      </c>
      <c r="AT140">
        <f t="shared" si="16"/>
        <v>0</v>
      </c>
      <c r="AU140">
        <f t="shared" si="14"/>
        <v>3.7179796033084397E-2</v>
      </c>
      <c r="AV140">
        <f t="shared" si="17"/>
        <v>0</v>
      </c>
      <c r="AW140">
        <f t="shared" si="18"/>
        <v>0</v>
      </c>
      <c r="AX140">
        <f t="shared" si="19"/>
        <v>2</v>
      </c>
      <c r="AY140">
        <f t="shared" si="20"/>
        <v>0</v>
      </c>
      <c r="AZ140">
        <f t="shared" si="15"/>
        <v>2</v>
      </c>
    </row>
    <row r="141" spans="1:52" x14ac:dyDescent="0.2">
      <c r="A141">
        <v>140</v>
      </c>
      <c r="B141" t="s">
        <v>188</v>
      </c>
      <c r="C141">
        <v>0</v>
      </c>
      <c r="H141" t="s">
        <v>188</v>
      </c>
      <c r="I141" t="s">
        <v>148</v>
      </c>
      <c r="Q141" t="s">
        <v>188</v>
      </c>
      <c r="R141">
        <v>626.91723109999998</v>
      </c>
      <c r="S141">
        <v>6</v>
      </c>
      <c r="T141">
        <v>130</v>
      </c>
      <c r="V141">
        <v>0</v>
      </c>
      <c r="W141">
        <v>0</v>
      </c>
      <c r="X141" t="s">
        <v>188</v>
      </c>
      <c r="Y141">
        <v>1</v>
      </c>
      <c r="Z141">
        <v>6</v>
      </c>
      <c r="AA141">
        <v>626.91999999999996</v>
      </c>
      <c r="AB141">
        <v>130</v>
      </c>
      <c r="AC141">
        <v>2.82</v>
      </c>
      <c r="AD141">
        <v>0.03</v>
      </c>
      <c r="AE141">
        <v>0</v>
      </c>
      <c r="AF141">
        <v>0</v>
      </c>
      <c r="AG141">
        <v>1</v>
      </c>
      <c r="AH141">
        <v>2.82</v>
      </c>
      <c r="AI141">
        <v>2.82</v>
      </c>
      <c r="AJ141">
        <v>2.82</v>
      </c>
      <c r="AK141">
        <v>0.03</v>
      </c>
      <c r="AL141">
        <v>0.03</v>
      </c>
      <c r="AM141">
        <v>0.03</v>
      </c>
      <c r="AN141">
        <v>0</v>
      </c>
      <c r="AO141">
        <v>0</v>
      </c>
      <c r="AP141">
        <v>0</v>
      </c>
      <c r="AQ141">
        <v>626.91723109999998</v>
      </c>
      <c r="AR141">
        <v>0</v>
      </c>
      <c r="AS141">
        <f>_xlfn.XLOOKUP(B141,InstallDate!$H$2:$H$389,InstallDate!$BE$2:$BE$389)</f>
        <v>1</v>
      </c>
      <c r="AT141">
        <f t="shared" si="16"/>
        <v>1</v>
      </c>
      <c r="AU141">
        <f t="shared" si="14"/>
        <v>2.2645145748012525E-2</v>
      </c>
      <c r="AV141">
        <f t="shared" si="17"/>
        <v>0</v>
      </c>
      <c r="AW141">
        <f t="shared" si="18"/>
        <v>0</v>
      </c>
      <c r="AX141">
        <f t="shared" si="19"/>
        <v>0</v>
      </c>
      <c r="AY141">
        <f t="shared" si="20"/>
        <v>1</v>
      </c>
      <c r="AZ141">
        <f t="shared" si="15"/>
        <v>2</v>
      </c>
    </row>
    <row r="142" spans="1:52" x14ac:dyDescent="0.2">
      <c r="A142">
        <v>141</v>
      </c>
      <c r="B142" t="s">
        <v>189</v>
      </c>
      <c r="C142">
        <v>0</v>
      </c>
      <c r="H142" t="s">
        <v>189</v>
      </c>
      <c r="I142" t="s">
        <v>148</v>
      </c>
      <c r="Q142" t="s">
        <v>189</v>
      </c>
      <c r="R142">
        <v>39.018149430000001</v>
      </c>
      <c r="S142">
        <v>6</v>
      </c>
      <c r="T142">
        <v>130</v>
      </c>
      <c r="V142">
        <v>0</v>
      </c>
      <c r="W142">
        <v>0</v>
      </c>
      <c r="X142" t="s">
        <v>189</v>
      </c>
      <c r="Y142">
        <v>-1</v>
      </c>
      <c r="Z142">
        <v>6</v>
      </c>
      <c r="AA142">
        <v>39.020000000000003</v>
      </c>
      <c r="AB142">
        <v>130</v>
      </c>
      <c r="AC142">
        <v>30.24</v>
      </c>
      <c r="AD142">
        <v>0.34</v>
      </c>
      <c r="AE142">
        <v>0</v>
      </c>
      <c r="AF142">
        <v>0.11</v>
      </c>
      <c r="AG142">
        <v>1</v>
      </c>
      <c r="AH142">
        <v>30.24</v>
      </c>
      <c r="AI142">
        <v>30.24</v>
      </c>
      <c r="AJ142">
        <v>30.24</v>
      </c>
      <c r="AK142">
        <v>0.34</v>
      </c>
      <c r="AL142">
        <v>0.34</v>
      </c>
      <c r="AM142">
        <v>0.34</v>
      </c>
      <c r="AN142">
        <v>0</v>
      </c>
      <c r="AO142">
        <v>0</v>
      </c>
      <c r="AP142">
        <v>0</v>
      </c>
      <c r="AQ142">
        <v>39.018149430000001</v>
      </c>
      <c r="AR142">
        <v>1</v>
      </c>
      <c r="AS142">
        <f>_xlfn.XLOOKUP(B142,InstallDate!$H$2:$H$389,InstallDate!$BE$2:$BE$389)</f>
        <v>1</v>
      </c>
      <c r="AT142">
        <f t="shared" si="16"/>
        <v>1</v>
      </c>
      <c r="AU142">
        <f t="shared" si="14"/>
        <v>0.24283305227655985</v>
      </c>
      <c r="AV142">
        <f t="shared" si="17"/>
        <v>0</v>
      </c>
      <c r="AW142">
        <f t="shared" si="18"/>
        <v>3</v>
      </c>
      <c r="AX142">
        <f t="shared" si="19"/>
        <v>2</v>
      </c>
      <c r="AY142">
        <f t="shared" si="20"/>
        <v>0</v>
      </c>
      <c r="AZ142">
        <f t="shared" si="15"/>
        <v>3</v>
      </c>
    </row>
    <row r="143" spans="1:52" x14ac:dyDescent="0.2">
      <c r="A143">
        <v>142</v>
      </c>
      <c r="B143" t="s">
        <v>190</v>
      </c>
      <c r="C143">
        <v>0</v>
      </c>
      <c r="H143" t="s">
        <v>190</v>
      </c>
      <c r="I143" t="s">
        <v>148</v>
      </c>
      <c r="Q143" t="s">
        <v>190</v>
      </c>
      <c r="R143">
        <v>29.491778010000001</v>
      </c>
      <c r="S143">
        <v>6</v>
      </c>
      <c r="T143">
        <v>130</v>
      </c>
      <c r="V143">
        <v>0</v>
      </c>
      <c r="W143">
        <v>0</v>
      </c>
      <c r="X143" t="s">
        <v>190</v>
      </c>
      <c r="Y143">
        <v>-1</v>
      </c>
      <c r="Z143">
        <v>6</v>
      </c>
      <c r="AA143">
        <v>29.49</v>
      </c>
      <c r="AB143">
        <v>130</v>
      </c>
      <c r="AC143">
        <v>30.24</v>
      </c>
      <c r="AD143">
        <v>0.34</v>
      </c>
      <c r="AE143">
        <v>0</v>
      </c>
      <c r="AF143">
        <v>0.11</v>
      </c>
      <c r="AG143">
        <v>1</v>
      </c>
      <c r="AH143">
        <v>30.24</v>
      </c>
      <c r="AI143">
        <v>30.24</v>
      </c>
      <c r="AJ143">
        <v>30.24</v>
      </c>
      <c r="AK143">
        <v>0.34</v>
      </c>
      <c r="AL143">
        <v>0.34</v>
      </c>
      <c r="AM143">
        <v>0.34</v>
      </c>
      <c r="AN143">
        <v>0</v>
      </c>
      <c r="AO143">
        <v>0</v>
      </c>
      <c r="AP143">
        <v>0</v>
      </c>
      <c r="AQ143">
        <v>29.491778010000001</v>
      </c>
      <c r="AR143">
        <v>1</v>
      </c>
      <c r="AS143">
        <f>_xlfn.XLOOKUP(B143,InstallDate!$H$2:$H$389,InstallDate!$BE$2:$BE$389)</f>
        <v>0</v>
      </c>
      <c r="AT143">
        <f t="shared" si="16"/>
        <v>1</v>
      </c>
      <c r="AU143">
        <f t="shared" si="14"/>
        <v>0.24283305227655985</v>
      </c>
      <c r="AV143">
        <f t="shared" si="17"/>
        <v>0</v>
      </c>
      <c r="AW143">
        <f t="shared" si="18"/>
        <v>3</v>
      </c>
      <c r="AX143">
        <f t="shared" si="19"/>
        <v>2</v>
      </c>
      <c r="AY143">
        <f t="shared" si="20"/>
        <v>0</v>
      </c>
      <c r="AZ143">
        <f t="shared" si="15"/>
        <v>2</v>
      </c>
    </row>
    <row r="144" spans="1:52" x14ac:dyDescent="0.2">
      <c r="A144">
        <v>143</v>
      </c>
      <c r="B144" t="s">
        <v>191</v>
      </c>
      <c r="C144">
        <v>0</v>
      </c>
      <c r="H144" t="s">
        <v>191</v>
      </c>
      <c r="I144" t="s">
        <v>148</v>
      </c>
      <c r="Q144" t="s">
        <v>191</v>
      </c>
      <c r="R144">
        <v>143.73243790000001</v>
      </c>
      <c r="S144">
        <v>6</v>
      </c>
      <c r="T144">
        <v>130</v>
      </c>
      <c r="V144">
        <v>0</v>
      </c>
      <c r="W144">
        <v>0</v>
      </c>
      <c r="X144" t="s">
        <v>191</v>
      </c>
      <c r="Y144">
        <v>-1</v>
      </c>
      <c r="Z144">
        <v>6</v>
      </c>
      <c r="AA144">
        <v>143.72999999999999</v>
      </c>
      <c r="AB144">
        <v>130</v>
      </c>
      <c r="AC144">
        <v>30.24</v>
      </c>
      <c r="AD144">
        <v>0.34</v>
      </c>
      <c r="AE144">
        <v>0.02</v>
      </c>
      <c r="AF144">
        <v>0.11</v>
      </c>
      <c r="AG144">
        <v>1</v>
      </c>
      <c r="AH144">
        <v>30.24</v>
      </c>
      <c r="AI144">
        <v>30.24</v>
      </c>
      <c r="AJ144">
        <v>30.24</v>
      </c>
      <c r="AK144">
        <v>0.34</v>
      </c>
      <c r="AL144">
        <v>0.34</v>
      </c>
      <c r="AM144">
        <v>0.34</v>
      </c>
      <c r="AN144">
        <v>0.02</v>
      </c>
      <c r="AO144">
        <v>0.02</v>
      </c>
      <c r="AP144">
        <v>0.02</v>
      </c>
      <c r="AQ144">
        <v>143.73243790000001</v>
      </c>
      <c r="AR144">
        <v>1</v>
      </c>
      <c r="AS144">
        <f>_xlfn.XLOOKUP(B144,InstallDate!$H$2:$H$389,InstallDate!$BE$2:$BE$389)</f>
        <v>1</v>
      </c>
      <c r="AT144">
        <f t="shared" si="16"/>
        <v>1</v>
      </c>
      <c r="AU144">
        <f t="shared" si="14"/>
        <v>0.24283305227655985</v>
      </c>
      <c r="AV144">
        <f t="shared" si="17"/>
        <v>0</v>
      </c>
      <c r="AW144">
        <f t="shared" si="18"/>
        <v>3</v>
      </c>
      <c r="AX144">
        <f t="shared" si="19"/>
        <v>2</v>
      </c>
      <c r="AY144">
        <f t="shared" si="20"/>
        <v>0</v>
      </c>
      <c r="AZ144">
        <f t="shared" si="15"/>
        <v>3</v>
      </c>
    </row>
    <row r="145" spans="1:52" x14ac:dyDescent="0.2">
      <c r="A145">
        <v>144</v>
      </c>
      <c r="B145" t="s">
        <v>192</v>
      </c>
      <c r="C145">
        <v>0</v>
      </c>
      <c r="H145" t="s">
        <v>192</v>
      </c>
      <c r="I145" t="s">
        <v>148</v>
      </c>
      <c r="Q145" t="s">
        <v>192</v>
      </c>
      <c r="R145">
        <v>80.440652349999993</v>
      </c>
      <c r="S145">
        <v>6</v>
      </c>
      <c r="T145">
        <v>130</v>
      </c>
      <c r="V145">
        <v>0</v>
      </c>
      <c r="W145">
        <v>0</v>
      </c>
      <c r="X145" t="s">
        <v>192</v>
      </c>
      <c r="Y145">
        <v>-1</v>
      </c>
      <c r="Z145">
        <v>6</v>
      </c>
      <c r="AA145">
        <v>80.44</v>
      </c>
      <c r="AB145">
        <v>130</v>
      </c>
      <c r="AC145">
        <v>30.24</v>
      </c>
      <c r="AD145">
        <v>0.34</v>
      </c>
      <c r="AE145">
        <v>0.01</v>
      </c>
      <c r="AF145">
        <v>0.11</v>
      </c>
      <c r="AG145">
        <v>1</v>
      </c>
      <c r="AH145">
        <v>30.24</v>
      </c>
      <c r="AI145">
        <v>30.24</v>
      </c>
      <c r="AJ145">
        <v>30.24</v>
      </c>
      <c r="AK145">
        <v>0.34</v>
      </c>
      <c r="AL145">
        <v>0.34</v>
      </c>
      <c r="AM145">
        <v>0.34</v>
      </c>
      <c r="AN145">
        <v>0.01</v>
      </c>
      <c r="AO145">
        <v>0.01</v>
      </c>
      <c r="AP145">
        <v>0.01</v>
      </c>
      <c r="AQ145">
        <v>80.440652349999993</v>
      </c>
      <c r="AR145">
        <v>1</v>
      </c>
      <c r="AS145">
        <f>_xlfn.XLOOKUP(B145,InstallDate!$H$2:$H$389,InstallDate!$BE$2:$BE$389)</f>
        <v>1</v>
      </c>
      <c r="AT145">
        <f t="shared" si="16"/>
        <v>1</v>
      </c>
      <c r="AU145">
        <f t="shared" si="14"/>
        <v>0.24283305227655985</v>
      </c>
      <c r="AV145">
        <f t="shared" si="17"/>
        <v>0</v>
      </c>
      <c r="AW145">
        <f t="shared" si="18"/>
        <v>3</v>
      </c>
      <c r="AX145">
        <f t="shared" si="19"/>
        <v>2</v>
      </c>
      <c r="AY145">
        <f t="shared" si="20"/>
        <v>0</v>
      </c>
      <c r="AZ145">
        <f t="shared" si="15"/>
        <v>3</v>
      </c>
    </row>
    <row r="146" spans="1:52" x14ac:dyDescent="0.2">
      <c r="A146">
        <v>145</v>
      </c>
      <c r="B146" t="s">
        <v>193</v>
      </c>
      <c r="C146">
        <v>0</v>
      </c>
      <c r="H146" t="s">
        <v>193</v>
      </c>
      <c r="I146" t="s">
        <v>148</v>
      </c>
      <c r="Q146" t="s">
        <v>193</v>
      </c>
      <c r="R146">
        <v>24.68039997</v>
      </c>
      <c r="S146">
        <v>8</v>
      </c>
      <c r="T146">
        <v>130</v>
      </c>
      <c r="V146">
        <v>0</v>
      </c>
      <c r="W146">
        <v>0</v>
      </c>
      <c r="X146" t="s">
        <v>193</v>
      </c>
      <c r="Y146">
        <v>-1</v>
      </c>
      <c r="Z146">
        <v>8</v>
      </c>
      <c r="AA146">
        <v>24.68</v>
      </c>
      <c r="AB146">
        <v>130</v>
      </c>
      <c r="AC146">
        <v>63.48</v>
      </c>
      <c r="AD146">
        <v>0.41</v>
      </c>
      <c r="AE146">
        <v>0</v>
      </c>
      <c r="AF146">
        <v>0.11</v>
      </c>
      <c r="AG146">
        <v>1</v>
      </c>
      <c r="AH146">
        <v>63.48</v>
      </c>
      <c r="AI146">
        <v>63.48</v>
      </c>
      <c r="AJ146">
        <v>63.48</v>
      </c>
      <c r="AK146">
        <v>0.41</v>
      </c>
      <c r="AL146">
        <v>0.41</v>
      </c>
      <c r="AM146">
        <v>0.41</v>
      </c>
      <c r="AN146">
        <v>0</v>
      </c>
      <c r="AO146">
        <v>0</v>
      </c>
      <c r="AP146">
        <v>0</v>
      </c>
      <c r="AQ146">
        <v>24.68039997</v>
      </c>
      <c r="AR146">
        <v>1</v>
      </c>
      <c r="AS146">
        <f>_xlfn.XLOOKUP(B146,InstallDate!$H$2:$H$389,InstallDate!$BE$2:$BE$389)</f>
        <v>1</v>
      </c>
      <c r="AT146">
        <f t="shared" si="16"/>
        <v>1</v>
      </c>
      <c r="AU146">
        <f t="shared" si="14"/>
        <v>0.50975668513611172</v>
      </c>
      <c r="AV146">
        <f t="shared" si="17"/>
        <v>4</v>
      </c>
      <c r="AW146">
        <f t="shared" si="18"/>
        <v>3</v>
      </c>
      <c r="AX146">
        <f t="shared" si="19"/>
        <v>2</v>
      </c>
      <c r="AY146">
        <f t="shared" si="20"/>
        <v>0</v>
      </c>
      <c r="AZ146">
        <f t="shared" si="15"/>
        <v>3</v>
      </c>
    </row>
    <row r="147" spans="1:52" x14ac:dyDescent="0.2">
      <c r="A147">
        <v>146</v>
      </c>
      <c r="B147" t="s">
        <v>194</v>
      </c>
      <c r="C147">
        <v>0</v>
      </c>
      <c r="H147" t="s">
        <v>194</v>
      </c>
      <c r="I147" t="s">
        <v>148</v>
      </c>
      <c r="Q147" t="s">
        <v>194</v>
      </c>
      <c r="R147">
        <v>231.07360009999999</v>
      </c>
      <c r="S147">
        <v>8</v>
      </c>
      <c r="T147">
        <v>130</v>
      </c>
      <c r="V147">
        <v>0</v>
      </c>
      <c r="W147">
        <v>0</v>
      </c>
      <c r="X147" t="s">
        <v>194</v>
      </c>
      <c r="Y147">
        <v>-1</v>
      </c>
      <c r="Z147">
        <v>8</v>
      </c>
      <c r="AA147">
        <v>231.07</v>
      </c>
      <c r="AB147">
        <v>130</v>
      </c>
      <c r="AC147">
        <v>63.48</v>
      </c>
      <c r="AD147">
        <v>0.41</v>
      </c>
      <c r="AE147">
        <v>0.03</v>
      </c>
      <c r="AF147">
        <v>0.11</v>
      </c>
      <c r="AG147">
        <v>1</v>
      </c>
      <c r="AH147">
        <v>63.48</v>
      </c>
      <c r="AI147">
        <v>63.48</v>
      </c>
      <c r="AJ147">
        <v>63.48</v>
      </c>
      <c r="AK147">
        <v>0.41</v>
      </c>
      <c r="AL147">
        <v>0.41</v>
      </c>
      <c r="AM147">
        <v>0.41</v>
      </c>
      <c r="AN147">
        <v>0.03</v>
      </c>
      <c r="AO147">
        <v>0.03</v>
      </c>
      <c r="AP147">
        <v>0.03</v>
      </c>
      <c r="AQ147">
        <v>231.07360009999999</v>
      </c>
      <c r="AR147">
        <v>1</v>
      </c>
      <c r="AS147">
        <f>_xlfn.XLOOKUP(B147,InstallDate!$H$2:$H$389,InstallDate!$BE$2:$BE$389)</f>
        <v>0</v>
      </c>
      <c r="AT147">
        <f t="shared" si="16"/>
        <v>1</v>
      </c>
      <c r="AU147">
        <f t="shared" si="14"/>
        <v>0.50975668513611172</v>
      </c>
      <c r="AV147">
        <f t="shared" si="17"/>
        <v>4</v>
      </c>
      <c r="AW147">
        <f t="shared" si="18"/>
        <v>3</v>
      </c>
      <c r="AX147">
        <f t="shared" si="19"/>
        <v>2</v>
      </c>
      <c r="AY147">
        <f t="shared" si="20"/>
        <v>0</v>
      </c>
      <c r="AZ147">
        <f t="shared" si="15"/>
        <v>2</v>
      </c>
    </row>
    <row r="148" spans="1:52" x14ac:dyDescent="0.2">
      <c r="A148">
        <v>147</v>
      </c>
      <c r="B148" t="s">
        <v>195</v>
      </c>
      <c r="C148">
        <v>0</v>
      </c>
      <c r="H148" t="s">
        <v>195</v>
      </c>
      <c r="I148" t="s">
        <v>148</v>
      </c>
      <c r="Q148" t="s">
        <v>195</v>
      </c>
      <c r="R148">
        <v>139.54423940000001</v>
      </c>
      <c r="S148">
        <v>8</v>
      </c>
      <c r="T148">
        <v>130</v>
      </c>
      <c r="V148">
        <v>0</v>
      </c>
      <c r="W148">
        <v>0</v>
      </c>
      <c r="X148" t="s">
        <v>195</v>
      </c>
      <c r="Y148">
        <v>-1</v>
      </c>
      <c r="Z148">
        <v>8</v>
      </c>
      <c r="AA148">
        <v>139.54</v>
      </c>
      <c r="AB148">
        <v>130</v>
      </c>
      <c r="AC148">
        <v>65.290000000000006</v>
      </c>
      <c r="AD148">
        <v>0.42</v>
      </c>
      <c r="AE148">
        <v>0.02</v>
      </c>
      <c r="AF148">
        <v>0.12</v>
      </c>
      <c r="AG148">
        <v>1</v>
      </c>
      <c r="AH148">
        <v>65.290000000000006</v>
      </c>
      <c r="AI148">
        <v>65.290000000000006</v>
      </c>
      <c r="AJ148">
        <v>65.290000000000006</v>
      </c>
      <c r="AK148">
        <v>0.42</v>
      </c>
      <c r="AL148">
        <v>0.42</v>
      </c>
      <c r="AM148">
        <v>0.42</v>
      </c>
      <c r="AN148">
        <v>0.02</v>
      </c>
      <c r="AO148">
        <v>0.02</v>
      </c>
      <c r="AP148">
        <v>0.02</v>
      </c>
      <c r="AQ148">
        <v>139.54423940000001</v>
      </c>
      <c r="AR148">
        <v>1</v>
      </c>
      <c r="AS148">
        <f>_xlfn.XLOOKUP(B148,InstallDate!$H$2:$H$389,InstallDate!$BE$2:$BE$389)</f>
        <v>0</v>
      </c>
      <c r="AT148">
        <f t="shared" si="16"/>
        <v>1</v>
      </c>
      <c r="AU148">
        <f t="shared" si="14"/>
        <v>0.52429133542118367</v>
      </c>
      <c r="AV148">
        <f t="shared" si="17"/>
        <v>4</v>
      </c>
      <c r="AW148">
        <f t="shared" si="18"/>
        <v>3</v>
      </c>
      <c r="AX148">
        <f t="shared" si="19"/>
        <v>2</v>
      </c>
      <c r="AY148">
        <f t="shared" si="20"/>
        <v>0</v>
      </c>
      <c r="AZ148">
        <f t="shared" si="15"/>
        <v>2</v>
      </c>
    </row>
    <row r="149" spans="1:52" x14ac:dyDescent="0.2">
      <c r="A149">
        <v>148</v>
      </c>
      <c r="B149" t="s">
        <v>196</v>
      </c>
      <c r="C149">
        <v>0</v>
      </c>
      <c r="H149" t="s">
        <v>196</v>
      </c>
      <c r="I149" t="s">
        <v>148</v>
      </c>
      <c r="Q149" t="s">
        <v>196</v>
      </c>
      <c r="R149">
        <v>200.88721269999999</v>
      </c>
      <c r="S149">
        <v>8</v>
      </c>
      <c r="T149">
        <v>130</v>
      </c>
      <c r="V149">
        <v>0</v>
      </c>
      <c r="W149">
        <v>0</v>
      </c>
      <c r="X149" t="s">
        <v>196</v>
      </c>
      <c r="Y149">
        <v>-1</v>
      </c>
      <c r="Z149">
        <v>8</v>
      </c>
      <c r="AA149">
        <v>200.89</v>
      </c>
      <c r="AB149">
        <v>130</v>
      </c>
      <c r="AC149">
        <v>53.93</v>
      </c>
      <c r="AD149">
        <v>0.34</v>
      </c>
      <c r="AE149">
        <v>0.02</v>
      </c>
      <c r="AF149">
        <v>0.08</v>
      </c>
      <c r="AG149">
        <v>1</v>
      </c>
      <c r="AH149">
        <v>53.93</v>
      </c>
      <c r="AI149">
        <v>53.93</v>
      </c>
      <c r="AJ149">
        <v>53.93</v>
      </c>
      <c r="AK149">
        <v>0.34</v>
      </c>
      <c r="AL149">
        <v>0.34</v>
      </c>
      <c r="AM149">
        <v>0.34</v>
      </c>
      <c r="AN149">
        <v>0.02</v>
      </c>
      <c r="AO149">
        <v>0.02</v>
      </c>
      <c r="AP149">
        <v>0.02</v>
      </c>
      <c r="AQ149">
        <v>200.88721269999999</v>
      </c>
      <c r="AR149">
        <v>1</v>
      </c>
      <c r="AS149">
        <f>_xlfn.XLOOKUP(B149,InstallDate!$H$2:$H$389,InstallDate!$BE$2:$BE$389)</f>
        <v>0</v>
      </c>
      <c r="AT149">
        <f t="shared" si="16"/>
        <v>1</v>
      </c>
      <c r="AU149">
        <f t="shared" si="14"/>
        <v>0.43306833694692043</v>
      </c>
      <c r="AV149">
        <f t="shared" si="17"/>
        <v>4</v>
      </c>
      <c r="AW149">
        <f t="shared" si="18"/>
        <v>3</v>
      </c>
      <c r="AX149">
        <f t="shared" si="19"/>
        <v>2</v>
      </c>
      <c r="AY149">
        <f t="shared" si="20"/>
        <v>0</v>
      </c>
      <c r="AZ149">
        <f t="shared" si="15"/>
        <v>2</v>
      </c>
    </row>
    <row r="150" spans="1:52" x14ac:dyDescent="0.2">
      <c r="A150">
        <v>149</v>
      </c>
      <c r="B150" t="s">
        <v>197</v>
      </c>
      <c r="C150">
        <v>0</v>
      </c>
      <c r="H150" t="s">
        <v>197</v>
      </c>
      <c r="I150" t="s">
        <v>148</v>
      </c>
      <c r="Q150" t="s">
        <v>197</v>
      </c>
      <c r="R150">
        <v>49.172243829999999</v>
      </c>
      <c r="S150">
        <v>8</v>
      </c>
      <c r="T150">
        <v>130</v>
      </c>
      <c r="V150">
        <v>0</v>
      </c>
      <c r="W150">
        <v>0</v>
      </c>
      <c r="X150" t="s">
        <v>197</v>
      </c>
      <c r="Y150">
        <v>-1</v>
      </c>
      <c r="Z150">
        <v>8</v>
      </c>
      <c r="AA150">
        <v>49.17</v>
      </c>
      <c r="AB150">
        <v>130</v>
      </c>
      <c r="AC150">
        <v>54.07</v>
      </c>
      <c r="AD150">
        <v>0.35</v>
      </c>
      <c r="AE150">
        <v>0</v>
      </c>
      <c r="AF150">
        <v>0.08</v>
      </c>
      <c r="AG150">
        <v>1</v>
      </c>
      <c r="AH150">
        <v>54.07</v>
      </c>
      <c r="AI150">
        <v>54.07</v>
      </c>
      <c r="AJ150">
        <v>54.07</v>
      </c>
      <c r="AK150">
        <v>0.35</v>
      </c>
      <c r="AL150">
        <v>0.35</v>
      </c>
      <c r="AM150">
        <v>0.35</v>
      </c>
      <c r="AN150">
        <v>0</v>
      </c>
      <c r="AO150">
        <v>0</v>
      </c>
      <c r="AP150">
        <v>0</v>
      </c>
      <c r="AQ150">
        <v>49.172243829999999</v>
      </c>
      <c r="AR150">
        <v>1</v>
      </c>
      <c r="AS150">
        <f>_xlfn.XLOOKUP(B150,InstallDate!$H$2:$H$389,InstallDate!$BE$2:$BE$389)</f>
        <v>1</v>
      </c>
      <c r="AT150">
        <f t="shared" si="16"/>
        <v>1</v>
      </c>
      <c r="AU150">
        <f t="shared" si="14"/>
        <v>0.43419256404079337</v>
      </c>
      <c r="AV150">
        <f t="shared" si="17"/>
        <v>4</v>
      </c>
      <c r="AW150">
        <f t="shared" si="18"/>
        <v>3</v>
      </c>
      <c r="AX150">
        <f t="shared" si="19"/>
        <v>2</v>
      </c>
      <c r="AY150">
        <f t="shared" si="20"/>
        <v>0</v>
      </c>
      <c r="AZ150">
        <f t="shared" si="15"/>
        <v>3</v>
      </c>
    </row>
    <row r="151" spans="1:52" x14ac:dyDescent="0.2">
      <c r="A151">
        <v>150</v>
      </c>
      <c r="B151" t="s">
        <v>198</v>
      </c>
      <c r="C151">
        <v>0</v>
      </c>
      <c r="H151" t="s">
        <v>198</v>
      </c>
      <c r="I151" t="s">
        <v>148</v>
      </c>
      <c r="Q151" t="s">
        <v>198</v>
      </c>
      <c r="R151">
        <v>17.303147840000001</v>
      </c>
      <c r="S151">
        <v>8</v>
      </c>
      <c r="T151">
        <v>130</v>
      </c>
      <c r="V151">
        <v>0</v>
      </c>
      <c r="W151">
        <v>0</v>
      </c>
      <c r="X151" t="s">
        <v>198</v>
      </c>
      <c r="Y151">
        <v>-1</v>
      </c>
      <c r="Z151">
        <v>8</v>
      </c>
      <c r="AA151">
        <v>17.3</v>
      </c>
      <c r="AB151">
        <v>130</v>
      </c>
      <c r="AC151">
        <v>54.07</v>
      </c>
      <c r="AD151">
        <v>0.35</v>
      </c>
      <c r="AE151">
        <v>0</v>
      </c>
      <c r="AF151">
        <v>0.08</v>
      </c>
      <c r="AG151">
        <v>1</v>
      </c>
      <c r="AH151">
        <v>54.07</v>
      </c>
      <c r="AI151">
        <v>54.07</v>
      </c>
      <c r="AJ151">
        <v>54.07</v>
      </c>
      <c r="AK151">
        <v>0.35</v>
      </c>
      <c r="AL151">
        <v>0.35</v>
      </c>
      <c r="AM151">
        <v>0.35</v>
      </c>
      <c r="AN151">
        <v>0</v>
      </c>
      <c r="AO151">
        <v>0</v>
      </c>
      <c r="AP151">
        <v>0</v>
      </c>
      <c r="AQ151">
        <v>17.303147840000001</v>
      </c>
      <c r="AR151">
        <v>1</v>
      </c>
      <c r="AS151">
        <f>_xlfn.XLOOKUP(B151,InstallDate!$H$2:$H$389,InstallDate!$BE$2:$BE$389)</f>
        <v>1</v>
      </c>
      <c r="AT151">
        <f t="shared" si="16"/>
        <v>1</v>
      </c>
      <c r="AU151">
        <f t="shared" si="14"/>
        <v>0.43419256404079337</v>
      </c>
      <c r="AV151">
        <f t="shared" si="17"/>
        <v>4</v>
      </c>
      <c r="AW151">
        <f t="shared" si="18"/>
        <v>3</v>
      </c>
      <c r="AX151">
        <f t="shared" si="19"/>
        <v>2</v>
      </c>
      <c r="AY151">
        <f t="shared" si="20"/>
        <v>0</v>
      </c>
      <c r="AZ151">
        <f t="shared" si="15"/>
        <v>3</v>
      </c>
    </row>
    <row r="152" spans="1:52" x14ac:dyDescent="0.2">
      <c r="A152">
        <v>151</v>
      </c>
      <c r="B152" t="s">
        <v>199</v>
      </c>
      <c r="C152">
        <v>0</v>
      </c>
      <c r="H152" t="s">
        <v>199</v>
      </c>
      <c r="I152" t="s">
        <v>158</v>
      </c>
      <c r="Q152" t="s">
        <v>199</v>
      </c>
      <c r="R152">
        <v>343.81559019999997</v>
      </c>
      <c r="S152">
        <v>6</v>
      </c>
      <c r="T152">
        <v>130</v>
      </c>
      <c r="V152">
        <v>0</v>
      </c>
      <c r="W152">
        <v>0</v>
      </c>
      <c r="X152" t="s">
        <v>199</v>
      </c>
      <c r="Y152">
        <v>-1</v>
      </c>
      <c r="Z152">
        <v>6</v>
      </c>
      <c r="AA152">
        <v>343.82</v>
      </c>
      <c r="AB152">
        <v>130</v>
      </c>
      <c r="AC152">
        <v>19.190000000000001</v>
      </c>
      <c r="AD152">
        <v>0.22</v>
      </c>
      <c r="AE152">
        <v>0.02</v>
      </c>
      <c r="AF152">
        <v>0.05</v>
      </c>
      <c r="AG152">
        <v>1</v>
      </c>
      <c r="AH152">
        <v>19.190000000000001</v>
      </c>
      <c r="AI152">
        <v>19.190000000000001</v>
      </c>
      <c r="AJ152">
        <v>19.190000000000001</v>
      </c>
      <c r="AK152">
        <v>0.22</v>
      </c>
      <c r="AL152">
        <v>0.22</v>
      </c>
      <c r="AM152">
        <v>0.22</v>
      </c>
      <c r="AN152">
        <v>0.02</v>
      </c>
      <c r="AO152">
        <v>0.02</v>
      </c>
      <c r="AP152">
        <v>0.02</v>
      </c>
      <c r="AQ152">
        <v>343.81559019999997</v>
      </c>
      <c r="AR152">
        <v>1</v>
      </c>
      <c r="AS152">
        <f>_xlfn.XLOOKUP(B152,InstallDate!$H$2:$H$389,InstallDate!$BE$2:$BE$389)</f>
        <v>0</v>
      </c>
      <c r="AT152">
        <f t="shared" si="16"/>
        <v>1</v>
      </c>
      <c r="AU152">
        <f t="shared" si="14"/>
        <v>0.1540994137958725</v>
      </c>
      <c r="AV152">
        <f t="shared" si="17"/>
        <v>0</v>
      </c>
      <c r="AW152">
        <f t="shared" si="18"/>
        <v>0</v>
      </c>
      <c r="AX152">
        <f t="shared" si="19"/>
        <v>2</v>
      </c>
      <c r="AY152">
        <f t="shared" si="20"/>
        <v>0</v>
      </c>
      <c r="AZ152">
        <f t="shared" si="15"/>
        <v>2</v>
      </c>
    </row>
    <row r="153" spans="1:52" x14ac:dyDescent="0.2">
      <c r="A153">
        <v>152</v>
      </c>
      <c r="B153" t="s">
        <v>200</v>
      </c>
      <c r="C153">
        <v>0</v>
      </c>
      <c r="H153" t="s">
        <v>200</v>
      </c>
      <c r="I153" t="s">
        <v>158</v>
      </c>
      <c r="Q153" t="s">
        <v>200</v>
      </c>
      <c r="R153">
        <v>281.80749159999999</v>
      </c>
      <c r="S153">
        <v>6</v>
      </c>
      <c r="T153">
        <v>130</v>
      </c>
      <c r="V153">
        <v>0</v>
      </c>
      <c r="W153">
        <v>0</v>
      </c>
      <c r="X153" t="s">
        <v>200</v>
      </c>
      <c r="Y153">
        <v>-1</v>
      </c>
      <c r="Z153">
        <v>6</v>
      </c>
      <c r="AA153">
        <v>281.81</v>
      </c>
      <c r="AB153">
        <v>130</v>
      </c>
      <c r="AC153">
        <v>19.329999999999998</v>
      </c>
      <c r="AD153">
        <v>0.22</v>
      </c>
      <c r="AE153">
        <v>0.01</v>
      </c>
      <c r="AF153">
        <v>0.05</v>
      </c>
      <c r="AG153">
        <v>1</v>
      </c>
      <c r="AH153">
        <v>19.329999999999998</v>
      </c>
      <c r="AI153">
        <v>19.329999999999998</v>
      </c>
      <c r="AJ153">
        <v>19.329999999999998</v>
      </c>
      <c r="AK153">
        <v>0.22</v>
      </c>
      <c r="AL153">
        <v>0.22</v>
      </c>
      <c r="AM153">
        <v>0.22</v>
      </c>
      <c r="AN153">
        <v>0.01</v>
      </c>
      <c r="AO153">
        <v>0.01</v>
      </c>
      <c r="AP153">
        <v>0.01</v>
      </c>
      <c r="AQ153">
        <v>281.80749159999999</v>
      </c>
      <c r="AR153">
        <v>1</v>
      </c>
      <c r="AS153">
        <f>_xlfn.XLOOKUP(B153,InstallDate!$H$2:$H$389,InstallDate!$BE$2:$BE$389)</f>
        <v>1</v>
      </c>
      <c r="AT153">
        <f t="shared" si="16"/>
        <v>1</v>
      </c>
      <c r="AU153">
        <f t="shared" si="14"/>
        <v>0.15522364088974544</v>
      </c>
      <c r="AV153">
        <f t="shared" si="17"/>
        <v>0</v>
      </c>
      <c r="AW153">
        <f t="shared" si="18"/>
        <v>0</v>
      </c>
      <c r="AX153">
        <f t="shared" si="19"/>
        <v>2</v>
      </c>
      <c r="AY153">
        <f t="shared" si="20"/>
        <v>0</v>
      </c>
      <c r="AZ153">
        <f t="shared" si="15"/>
        <v>2</v>
      </c>
    </row>
    <row r="154" spans="1:52" x14ac:dyDescent="0.2">
      <c r="A154">
        <v>153</v>
      </c>
      <c r="B154" t="s">
        <v>201</v>
      </c>
      <c r="C154">
        <v>0</v>
      </c>
      <c r="H154" t="s">
        <v>201</v>
      </c>
      <c r="I154" t="s">
        <v>158</v>
      </c>
      <c r="Q154" t="s">
        <v>201</v>
      </c>
      <c r="R154">
        <v>252.0684287</v>
      </c>
      <c r="S154">
        <v>6</v>
      </c>
      <c r="T154">
        <v>130</v>
      </c>
      <c r="V154">
        <v>0</v>
      </c>
      <c r="W154">
        <v>0</v>
      </c>
      <c r="X154" t="s">
        <v>201</v>
      </c>
      <c r="Y154">
        <v>-1</v>
      </c>
      <c r="Z154">
        <v>6</v>
      </c>
      <c r="AA154">
        <v>252.07</v>
      </c>
      <c r="AB154">
        <v>130</v>
      </c>
      <c r="AC154">
        <v>19.61</v>
      </c>
      <c r="AD154">
        <v>0.22</v>
      </c>
      <c r="AE154">
        <v>0.01</v>
      </c>
      <c r="AF154">
        <v>0.05</v>
      </c>
      <c r="AG154">
        <v>1</v>
      </c>
      <c r="AH154">
        <v>19.61</v>
      </c>
      <c r="AI154">
        <v>19.61</v>
      </c>
      <c r="AJ154">
        <v>19.61</v>
      </c>
      <c r="AK154">
        <v>0.22</v>
      </c>
      <c r="AL154">
        <v>0.22</v>
      </c>
      <c r="AM154">
        <v>0.22</v>
      </c>
      <c r="AN154">
        <v>0.01</v>
      </c>
      <c r="AO154">
        <v>0.01</v>
      </c>
      <c r="AP154">
        <v>0.01</v>
      </c>
      <c r="AQ154">
        <v>252.0684287</v>
      </c>
      <c r="AR154">
        <v>1</v>
      </c>
      <c r="AS154">
        <f>_xlfn.XLOOKUP(B154,InstallDate!$H$2:$H$389,InstallDate!$BE$2:$BE$389)</f>
        <v>1</v>
      </c>
      <c r="AT154">
        <f t="shared" si="16"/>
        <v>1</v>
      </c>
      <c r="AU154">
        <f t="shared" si="14"/>
        <v>0.15747209507749135</v>
      </c>
      <c r="AV154">
        <f t="shared" si="17"/>
        <v>0</v>
      </c>
      <c r="AW154">
        <f t="shared" si="18"/>
        <v>0</v>
      </c>
      <c r="AX154">
        <f t="shared" si="19"/>
        <v>2</v>
      </c>
      <c r="AY154">
        <f t="shared" si="20"/>
        <v>0</v>
      </c>
      <c r="AZ154">
        <f t="shared" si="15"/>
        <v>2</v>
      </c>
    </row>
    <row r="155" spans="1:52" x14ac:dyDescent="0.2">
      <c r="A155">
        <v>154</v>
      </c>
      <c r="B155" t="s">
        <v>202</v>
      </c>
      <c r="C155">
        <v>0</v>
      </c>
      <c r="H155" t="s">
        <v>202</v>
      </c>
      <c r="I155" t="s">
        <v>158</v>
      </c>
      <c r="Q155" t="s">
        <v>202</v>
      </c>
      <c r="R155">
        <v>310.31780090000001</v>
      </c>
      <c r="S155">
        <v>6</v>
      </c>
      <c r="T155">
        <v>130</v>
      </c>
      <c r="V155">
        <v>0</v>
      </c>
      <c r="W155">
        <v>0</v>
      </c>
      <c r="X155" t="s">
        <v>202</v>
      </c>
      <c r="Y155">
        <v>-1</v>
      </c>
      <c r="Z155">
        <v>6</v>
      </c>
      <c r="AA155">
        <v>310.32</v>
      </c>
      <c r="AB155">
        <v>130</v>
      </c>
      <c r="AC155">
        <v>35.590000000000003</v>
      </c>
      <c r="AD155">
        <v>0.4</v>
      </c>
      <c r="AE155">
        <v>0.05</v>
      </c>
      <c r="AF155">
        <v>0.15</v>
      </c>
      <c r="AG155">
        <v>1</v>
      </c>
      <c r="AH155">
        <v>35.590000000000003</v>
      </c>
      <c r="AI155">
        <v>35.590000000000003</v>
      </c>
      <c r="AJ155">
        <v>35.590000000000003</v>
      </c>
      <c r="AK155">
        <v>0.4</v>
      </c>
      <c r="AL155">
        <v>0.4</v>
      </c>
      <c r="AM155">
        <v>0.4</v>
      </c>
      <c r="AN155">
        <v>0.05</v>
      </c>
      <c r="AO155">
        <v>0.05</v>
      </c>
      <c r="AP155">
        <v>0.05</v>
      </c>
      <c r="AQ155">
        <v>310.31780090000001</v>
      </c>
      <c r="AR155">
        <v>1</v>
      </c>
      <c r="AS155">
        <f>_xlfn.XLOOKUP(B155,InstallDate!$H$2:$H$389,InstallDate!$BE$2:$BE$389)</f>
        <v>1</v>
      </c>
      <c r="AT155">
        <f t="shared" si="16"/>
        <v>1</v>
      </c>
      <c r="AU155">
        <f t="shared" si="14"/>
        <v>0.28579458764956239</v>
      </c>
      <c r="AV155">
        <f t="shared" si="17"/>
        <v>4</v>
      </c>
      <c r="AW155">
        <f t="shared" si="18"/>
        <v>3</v>
      </c>
      <c r="AX155">
        <f t="shared" si="19"/>
        <v>2</v>
      </c>
      <c r="AY155">
        <f t="shared" si="20"/>
        <v>0</v>
      </c>
      <c r="AZ155">
        <f t="shared" si="15"/>
        <v>3</v>
      </c>
    </row>
    <row r="156" spans="1:52" x14ac:dyDescent="0.2">
      <c r="A156">
        <v>155</v>
      </c>
      <c r="B156" t="s">
        <v>203</v>
      </c>
      <c r="C156">
        <v>0</v>
      </c>
      <c r="H156" t="s">
        <v>203</v>
      </c>
      <c r="I156" t="s">
        <v>158</v>
      </c>
      <c r="Q156" t="s">
        <v>203</v>
      </c>
      <c r="R156">
        <v>67.823016280000004</v>
      </c>
      <c r="S156">
        <v>6</v>
      </c>
      <c r="T156">
        <v>130</v>
      </c>
      <c r="V156">
        <v>0</v>
      </c>
      <c r="W156">
        <v>0</v>
      </c>
      <c r="X156" t="s">
        <v>203</v>
      </c>
      <c r="Y156">
        <v>-1</v>
      </c>
      <c r="Z156">
        <v>6</v>
      </c>
      <c r="AA156">
        <v>67.819999999999993</v>
      </c>
      <c r="AB156">
        <v>130</v>
      </c>
      <c r="AC156">
        <v>35.590000000000003</v>
      </c>
      <c r="AD156">
        <v>0.4</v>
      </c>
      <c r="AE156">
        <v>0.01</v>
      </c>
      <c r="AF156">
        <v>0.15</v>
      </c>
      <c r="AG156">
        <v>1</v>
      </c>
      <c r="AH156">
        <v>35.590000000000003</v>
      </c>
      <c r="AI156">
        <v>35.590000000000003</v>
      </c>
      <c r="AJ156">
        <v>35.590000000000003</v>
      </c>
      <c r="AK156">
        <v>0.4</v>
      </c>
      <c r="AL156">
        <v>0.4</v>
      </c>
      <c r="AM156">
        <v>0.4</v>
      </c>
      <c r="AN156">
        <v>0.01</v>
      </c>
      <c r="AO156">
        <v>0.01</v>
      </c>
      <c r="AP156">
        <v>0.01</v>
      </c>
      <c r="AQ156">
        <v>67.823016280000004</v>
      </c>
      <c r="AR156">
        <v>1</v>
      </c>
      <c r="AS156">
        <f>_xlfn.XLOOKUP(B156,InstallDate!$H$2:$H$389,InstallDate!$BE$2:$BE$389)</f>
        <v>1</v>
      </c>
      <c r="AT156">
        <f t="shared" si="16"/>
        <v>1</v>
      </c>
      <c r="AU156">
        <f t="shared" si="14"/>
        <v>0.28579458764956239</v>
      </c>
      <c r="AV156">
        <f t="shared" si="17"/>
        <v>4</v>
      </c>
      <c r="AW156">
        <f t="shared" si="18"/>
        <v>3</v>
      </c>
      <c r="AX156">
        <f t="shared" si="19"/>
        <v>2</v>
      </c>
      <c r="AY156">
        <f t="shared" si="20"/>
        <v>0</v>
      </c>
      <c r="AZ156">
        <f t="shared" si="15"/>
        <v>3</v>
      </c>
    </row>
    <row r="157" spans="1:52" x14ac:dyDescent="0.2">
      <c r="A157">
        <v>156</v>
      </c>
      <c r="B157" t="s">
        <v>204</v>
      </c>
      <c r="C157">
        <v>0</v>
      </c>
      <c r="H157" t="s">
        <v>204</v>
      </c>
      <c r="I157" t="s">
        <v>158</v>
      </c>
      <c r="Q157" t="s">
        <v>204</v>
      </c>
      <c r="R157">
        <v>475.74672140000001</v>
      </c>
      <c r="S157">
        <v>6</v>
      </c>
      <c r="T157">
        <v>130</v>
      </c>
      <c r="V157">
        <v>0</v>
      </c>
      <c r="W157">
        <v>0</v>
      </c>
      <c r="X157" t="s">
        <v>204</v>
      </c>
      <c r="Y157">
        <v>-1</v>
      </c>
      <c r="Z157">
        <v>6</v>
      </c>
      <c r="AA157">
        <v>475.75</v>
      </c>
      <c r="AB157">
        <v>130</v>
      </c>
      <c r="AC157">
        <v>44.45</v>
      </c>
      <c r="AD157">
        <v>0.5</v>
      </c>
      <c r="AE157">
        <v>0.11</v>
      </c>
      <c r="AF157">
        <v>0.23</v>
      </c>
      <c r="AG157">
        <v>1</v>
      </c>
      <c r="AH157">
        <v>44.45</v>
      </c>
      <c r="AI157">
        <v>44.45</v>
      </c>
      <c r="AJ157">
        <v>44.45</v>
      </c>
      <c r="AK157">
        <v>0.5</v>
      </c>
      <c r="AL157">
        <v>0.5</v>
      </c>
      <c r="AM157">
        <v>0.5</v>
      </c>
      <c r="AN157">
        <v>0.11</v>
      </c>
      <c r="AO157">
        <v>0.11</v>
      </c>
      <c r="AP157">
        <v>0.11</v>
      </c>
      <c r="AQ157">
        <v>475.74672140000001</v>
      </c>
      <c r="AR157">
        <v>1</v>
      </c>
      <c r="AS157">
        <f>_xlfn.XLOOKUP(B157,InstallDate!$H$2:$H$389,InstallDate!$BE$2:$BE$389)</f>
        <v>0</v>
      </c>
      <c r="AT157">
        <f t="shared" si="16"/>
        <v>1</v>
      </c>
      <c r="AU157">
        <f t="shared" si="14"/>
        <v>0.35694210230466555</v>
      </c>
      <c r="AV157">
        <f t="shared" si="17"/>
        <v>4</v>
      </c>
      <c r="AW157">
        <f t="shared" si="18"/>
        <v>3</v>
      </c>
      <c r="AX157">
        <f t="shared" si="19"/>
        <v>2</v>
      </c>
      <c r="AY157">
        <f t="shared" si="20"/>
        <v>0</v>
      </c>
      <c r="AZ157">
        <f t="shared" si="15"/>
        <v>2</v>
      </c>
    </row>
    <row r="158" spans="1:52" x14ac:dyDescent="0.2">
      <c r="A158">
        <v>157</v>
      </c>
      <c r="B158" t="s">
        <v>205</v>
      </c>
      <c r="C158">
        <v>0</v>
      </c>
      <c r="H158" t="s">
        <v>205</v>
      </c>
      <c r="I158" t="s">
        <v>158</v>
      </c>
      <c r="Q158" t="s">
        <v>205</v>
      </c>
      <c r="R158">
        <v>132.86289909999999</v>
      </c>
      <c r="S158">
        <v>6</v>
      </c>
      <c r="T158">
        <v>130</v>
      </c>
      <c r="V158">
        <v>0</v>
      </c>
      <c r="W158">
        <v>0</v>
      </c>
      <c r="X158" t="s">
        <v>205</v>
      </c>
      <c r="Y158">
        <v>-1</v>
      </c>
      <c r="Z158">
        <v>6</v>
      </c>
      <c r="AA158">
        <v>132.86000000000001</v>
      </c>
      <c r="AB158">
        <v>130</v>
      </c>
      <c r="AC158">
        <v>45.15</v>
      </c>
      <c r="AD158">
        <v>0.51</v>
      </c>
      <c r="AE158">
        <v>0.03</v>
      </c>
      <c r="AF158">
        <v>0.24</v>
      </c>
      <c r="AG158">
        <v>1</v>
      </c>
      <c r="AH158">
        <v>45.15</v>
      </c>
      <c r="AI158">
        <v>45.15</v>
      </c>
      <c r="AJ158">
        <v>45.15</v>
      </c>
      <c r="AK158">
        <v>0.51</v>
      </c>
      <c r="AL158">
        <v>0.51</v>
      </c>
      <c r="AM158">
        <v>0.51</v>
      </c>
      <c r="AN158">
        <v>0.03</v>
      </c>
      <c r="AO158">
        <v>0.03</v>
      </c>
      <c r="AP158">
        <v>0.03</v>
      </c>
      <c r="AQ158">
        <v>132.86289909999999</v>
      </c>
      <c r="AR158">
        <v>1</v>
      </c>
      <c r="AS158">
        <f>_xlfn.XLOOKUP(B158,InstallDate!$H$2:$H$389,InstallDate!$BE$2:$BE$389)</f>
        <v>0</v>
      </c>
      <c r="AT158">
        <f t="shared" si="16"/>
        <v>1</v>
      </c>
      <c r="AU158">
        <f t="shared" si="14"/>
        <v>0.36256323777403032</v>
      </c>
      <c r="AV158">
        <f t="shared" si="17"/>
        <v>4</v>
      </c>
      <c r="AW158">
        <f t="shared" si="18"/>
        <v>3</v>
      </c>
      <c r="AX158">
        <f t="shared" si="19"/>
        <v>2</v>
      </c>
      <c r="AY158">
        <f t="shared" si="20"/>
        <v>0</v>
      </c>
      <c r="AZ158">
        <f t="shared" si="15"/>
        <v>2</v>
      </c>
    </row>
    <row r="159" spans="1:52" x14ac:dyDescent="0.2">
      <c r="A159">
        <v>158</v>
      </c>
      <c r="B159" t="s">
        <v>206</v>
      </c>
      <c r="C159">
        <v>0</v>
      </c>
      <c r="H159" t="s">
        <v>206</v>
      </c>
      <c r="I159" t="s">
        <v>158</v>
      </c>
      <c r="Q159" t="s">
        <v>206</v>
      </c>
      <c r="R159">
        <v>22.434131499999999</v>
      </c>
      <c r="S159">
        <v>6</v>
      </c>
      <c r="T159">
        <v>130</v>
      </c>
      <c r="V159">
        <v>0</v>
      </c>
      <c r="W159">
        <v>0</v>
      </c>
      <c r="X159" t="s">
        <v>206</v>
      </c>
      <c r="Y159">
        <v>-1</v>
      </c>
      <c r="Z159">
        <v>6</v>
      </c>
      <c r="AA159">
        <v>22.43</v>
      </c>
      <c r="AB159">
        <v>130</v>
      </c>
      <c r="AC159">
        <v>45.15</v>
      </c>
      <c r="AD159">
        <v>0.51</v>
      </c>
      <c r="AE159">
        <v>0.01</v>
      </c>
      <c r="AF159">
        <v>0.24</v>
      </c>
      <c r="AG159">
        <v>1</v>
      </c>
      <c r="AH159">
        <v>45.15</v>
      </c>
      <c r="AI159">
        <v>45.15</v>
      </c>
      <c r="AJ159">
        <v>45.15</v>
      </c>
      <c r="AK159">
        <v>0.51</v>
      </c>
      <c r="AL159">
        <v>0.51</v>
      </c>
      <c r="AM159">
        <v>0.51</v>
      </c>
      <c r="AN159">
        <v>0.01</v>
      </c>
      <c r="AO159">
        <v>0.01</v>
      </c>
      <c r="AP159">
        <v>0.01</v>
      </c>
      <c r="AQ159">
        <v>22.434131499999999</v>
      </c>
      <c r="AR159">
        <v>1</v>
      </c>
      <c r="AS159">
        <f>_xlfn.XLOOKUP(B159,InstallDate!$H$2:$H$389,InstallDate!$BE$2:$BE$389)</f>
        <v>1</v>
      </c>
      <c r="AT159">
        <f t="shared" si="16"/>
        <v>1</v>
      </c>
      <c r="AU159">
        <f t="shared" si="14"/>
        <v>0.36256323777403032</v>
      </c>
      <c r="AV159">
        <f t="shared" si="17"/>
        <v>4</v>
      </c>
      <c r="AW159">
        <f t="shared" si="18"/>
        <v>3</v>
      </c>
      <c r="AX159">
        <f t="shared" si="19"/>
        <v>2</v>
      </c>
      <c r="AY159">
        <f t="shared" si="20"/>
        <v>0</v>
      </c>
      <c r="AZ159">
        <f t="shared" si="15"/>
        <v>3</v>
      </c>
    </row>
    <row r="160" spans="1:52" x14ac:dyDescent="0.2">
      <c r="A160">
        <v>159</v>
      </c>
      <c r="B160" t="s">
        <v>207</v>
      </c>
      <c r="C160">
        <v>0</v>
      </c>
      <c r="H160" t="s">
        <v>207</v>
      </c>
      <c r="I160" t="s">
        <v>148</v>
      </c>
      <c r="Q160" t="s">
        <v>207</v>
      </c>
      <c r="R160">
        <v>241.28951290000001</v>
      </c>
      <c r="S160">
        <v>6</v>
      </c>
      <c r="T160">
        <v>130</v>
      </c>
      <c r="V160">
        <v>0</v>
      </c>
      <c r="W160">
        <v>0</v>
      </c>
      <c r="X160" t="s">
        <v>207</v>
      </c>
      <c r="Y160">
        <v>-1</v>
      </c>
      <c r="Z160">
        <v>6</v>
      </c>
      <c r="AA160">
        <v>241.29</v>
      </c>
      <c r="AB160">
        <v>130</v>
      </c>
      <c r="AC160">
        <v>70.63</v>
      </c>
      <c r="AD160">
        <v>0.8</v>
      </c>
      <c r="AE160">
        <v>0.13</v>
      </c>
      <c r="AF160">
        <v>0.55000000000000004</v>
      </c>
      <c r="AG160">
        <v>1</v>
      </c>
      <c r="AH160">
        <v>70.63</v>
      </c>
      <c r="AI160">
        <v>70.63</v>
      </c>
      <c r="AJ160">
        <v>70.63</v>
      </c>
      <c r="AK160">
        <v>0.8</v>
      </c>
      <c r="AL160">
        <v>0.8</v>
      </c>
      <c r="AM160">
        <v>0.8</v>
      </c>
      <c r="AN160">
        <v>0.13</v>
      </c>
      <c r="AO160">
        <v>0.13</v>
      </c>
      <c r="AP160">
        <v>0.13</v>
      </c>
      <c r="AQ160">
        <v>241.28951290000001</v>
      </c>
      <c r="AR160">
        <v>1</v>
      </c>
      <c r="AS160">
        <f>_xlfn.XLOOKUP(B160,InstallDate!$H$2:$H$389,InstallDate!$BE$2:$BE$389)</f>
        <v>1</v>
      </c>
      <c r="AT160">
        <f t="shared" si="16"/>
        <v>1</v>
      </c>
      <c r="AU160">
        <f t="shared" si="14"/>
        <v>0.56717256885890943</v>
      </c>
      <c r="AV160">
        <f t="shared" si="17"/>
        <v>4</v>
      </c>
      <c r="AW160">
        <f t="shared" si="18"/>
        <v>3</v>
      </c>
      <c r="AX160">
        <f t="shared" si="19"/>
        <v>2</v>
      </c>
      <c r="AY160">
        <f t="shared" si="20"/>
        <v>0</v>
      </c>
      <c r="AZ160">
        <f t="shared" si="15"/>
        <v>3</v>
      </c>
    </row>
    <row r="161" spans="1:52" x14ac:dyDescent="0.2">
      <c r="A161">
        <v>160</v>
      </c>
      <c r="B161" t="s">
        <v>208</v>
      </c>
      <c r="C161">
        <v>0</v>
      </c>
      <c r="H161" t="s">
        <v>208</v>
      </c>
      <c r="I161" t="s">
        <v>148</v>
      </c>
      <c r="Q161" t="s">
        <v>208</v>
      </c>
      <c r="R161">
        <v>81.994735759999998</v>
      </c>
      <c r="S161">
        <v>6</v>
      </c>
      <c r="T161">
        <v>130</v>
      </c>
      <c r="V161">
        <v>0</v>
      </c>
      <c r="W161">
        <v>0</v>
      </c>
      <c r="X161" t="s">
        <v>208</v>
      </c>
      <c r="Y161">
        <v>-1</v>
      </c>
      <c r="Z161">
        <v>6</v>
      </c>
      <c r="AA161">
        <v>81.99</v>
      </c>
      <c r="AB161">
        <v>130</v>
      </c>
      <c r="AC161">
        <v>71.040000000000006</v>
      </c>
      <c r="AD161">
        <v>0.81</v>
      </c>
      <c r="AE161">
        <v>0.05</v>
      </c>
      <c r="AF161">
        <v>0.55000000000000004</v>
      </c>
      <c r="AG161">
        <v>1</v>
      </c>
      <c r="AH161">
        <v>71.040000000000006</v>
      </c>
      <c r="AI161">
        <v>71.040000000000006</v>
      </c>
      <c r="AJ161">
        <v>71.040000000000006</v>
      </c>
      <c r="AK161">
        <v>0.81</v>
      </c>
      <c r="AL161">
        <v>0.81</v>
      </c>
      <c r="AM161">
        <v>0.81</v>
      </c>
      <c r="AN161">
        <v>0.05</v>
      </c>
      <c r="AO161">
        <v>0.05</v>
      </c>
      <c r="AP161">
        <v>0.05</v>
      </c>
      <c r="AQ161">
        <v>81.994735759999998</v>
      </c>
      <c r="AR161">
        <v>1</v>
      </c>
      <c r="AS161">
        <f>_xlfn.XLOOKUP(B161,InstallDate!$H$2:$H$389,InstallDate!$BE$2:$BE$389)</f>
        <v>1</v>
      </c>
      <c r="AT161">
        <f t="shared" si="16"/>
        <v>1</v>
      </c>
      <c r="AU161">
        <f t="shared" si="14"/>
        <v>0.57046494820525184</v>
      </c>
      <c r="AV161">
        <f t="shared" si="17"/>
        <v>4</v>
      </c>
      <c r="AW161">
        <f t="shared" si="18"/>
        <v>3</v>
      </c>
      <c r="AX161">
        <f t="shared" si="19"/>
        <v>2</v>
      </c>
      <c r="AY161">
        <f t="shared" si="20"/>
        <v>0</v>
      </c>
      <c r="AZ161">
        <f t="shared" si="15"/>
        <v>3</v>
      </c>
    </row>
    <row r="162" spans="1:52" x14ac:dyDescent="0.2">
      <c r="A162">
        <v>161</v>
      </c>
      <c r="B162" t="s">
        <v>209</v>
      </c>
      <c r="C162">
        <v>0</v>
      </c>
      <c r="H162" t="s">
        <v>209</v>
      </c>
      <c r="I162" t="s">
        <v>148</v>
      </c>
      <c r="Q162" t="s">
        <v>209</v>
      </c>
      <c r="R162">
        <v>28.789905439999998</v>
      </c>
      <c r="S162">
        <v>6</v>
      </c>
      <c r="T162">
        <v>130</v>
      </c>
      <c r="V162">
        <v>0</v>
      </c>
      <c r="W162">
        <v>0</v>
      </c>
      <c r="X162" t="s">
        <v>209</v>
      </c>
      <c r="Y162">
        <v>-1</v>
      </c>
      <c r="Z162">
        <v>6</v>
      </c>
      <c r="AA162">
        <v>28.79</v>
      </c>
      <c r="AB162">
        <v>130</v>
      </c>
      <c r="AC162">
        <v>71.040000000000006</v>
      </c>
      <c r="AD162">
        <v>0.81</v>
      </c>
      <c r="AE162">
        <v>0.02</v>
      </c>
      <c r="AF162">
        <v>0.55000000000000004</v>
      </c>
      <c r="AG162">
        <v>1</v>
      </c>
      <c r="AH162">
        <v>71.040000000000006</v>
      </c>
      <c r="AI162">
        <v>71.040000000000006</v>
      </c>
      <c r="AJ162">
        <v>71.040000000000006</v>
      </c>
      <c r="AK162">
        <v>0.81</v>
      </c>
      <c r="AL162">
        <v>0.81</v>
      </c>
      <c r="AM162">
        <v>0.81</v>
      </c>
      <c r="AN162">
        <v>0.02</v>
      </c>
      <c r="AO162">
        <v>0.02</v>
      </c>
      <c r="AP162">
        <v>0.02</v>
      </c>
      <c r="AQ162">
        <v>28.789905439999998</v>
      </c>
      <c r="AR162">
        <v>1</v>
      </c>
      <c r="AS162">
        <f>_xlfn.XLOOKUP(B162,InstallDate!$H$2:$H$389,InstallDate!$BE$2:$BE$389)</f>
        <v>1</v>
      </c>
      <c r="AT162">
        <f t="shared" si="16"/>
        <v>1</v>
      </c>
      <c r="AU162">
        <f t="shared" si="14"/>
        <v>0.57046494820525184</v>
      </c>
      <c r="AV162">
        <f t="shared" si="17"/>
        <v>4</v>
      </c>
      <c r="AW162">
        <f t="shared" si="18"/>
        <v>3</v>
      </c>
      <c r="AX162">
        <f t="shared" si="19"/>
        <v>2</v>
      </c>
      <c r="AY162">
        <f t="shared" si="20"/>
        <v>0</v>
      </c>
      <c r="AZ162">
        <f t="shared" si="15"/>
        <v>3</v>
      </c>
    </row>
    <row r="163" spans="1:52" x14ac:dyDescent="0.2">
      <c r="A163">
        <v>162</v>
      </c>
      <c r="B163" t="s">
        <v>210</v>
      </c>
      <c r="C163">
        <v>0</v>
      </c>
      <c r="H163" t="s">
        <v>210</v>
      </c>
      <c r="I163" t="s">
        <v>146</v>
      </c>
      <c r="Q163" t="s">
        <v>210</v>
      </c>
      <c r="R163">
        <v>33.465965250000004</v>
      </c>
      <c r="S163">
        <v>8</v>
      </c>
      <c r="T163">
        <v>130</v>
      </c>
      <c r="V163">
        <v>0</v>
      </c>
      <c r="W163">
        <v>0</v>
      </c>
      <c r="X163" t="s">
        <v>210</v>
      </c>
      <c r="Y163">
        <v>-1</v>
      </c>
      <c r="Z163">
        <v>8</v>
      </c>
      <c r="AA163">
        <v>33.47</v>
      </c>
      <c r="AB163">
        <v>130</v>
      </c>
      <c r="AC163">
        <v>26.03</v>
      </c>
      <c r="AD163">
        <v>0.17</v>
      </c>
      <c r="AE163">
        <v>0</v>
      </c>
      <c r="AF163">
        <v>0.02</v>
      </c>
      <c r="AG163">
        <v>1</v>
      </c>
      <c r="AH163">
        <v>26.03</v>
      </c>
      <c r="AI163">
        <v>26.03</v>
      </c>
      <c r="AJ163">
        <v>26.03</v>
      </c>
      <c r="AK163">
        <v>0.17</v>
      </c>
      <c r="AL163">
        <v>0.17</v>
      </c>
      <c r="AM163">
        <v>0.17</v>
      </c>
      <c r="AN163">
        <v>0</v>
      </c>
      <c r="AO163">
        <v>0</v>
      </c>
      <c r="AP163">
        <v>0</v>
      </c>
      <c r="AQ163">
        <v>33.465965250000004</v>
      </c>
      <c r="AR163">
        <v>1</v>
      </c>
      <c r="AS163">
        <f>_xlfn.XLOOKUP(B163,InstallDate!$H$2:$H$389,InstallDate!$BE$2:$BE$389)</f>
        <v>1</v>
      </c>
      <c r="AT163">
        <f t="shared" si="16"/>
        <v>1</v>
      </c>
      <c r="AU163">
        <f t="shared" si="14"/>
        <v>0.20902593752509435</v>
      </c>
      <c r="AV163">
        <f t="shared" si="17"/>
        <v>0</v>
      </c>
      <c r="AW163">
        <f t="shared" si="18"/>
        <v>3</v>
      </c>
      <c r="AX163">
        <f t="shared" si="19"/>
        <v>2</v>
      </c>
      <c r="AY163">
        <f t="shared" si="20"/>
        <v>0</v>
      </c>
      <c r="AZ163">
        <f t="shared" si="15"/>
        <v>3</v>
      </c>
    </row>
    <row r="164" spans="1:52" x14ac:dyDescent="0.2">
      <c r="A164">
        <v>163</v>
      </c>
      <c r="B164" t="s">
        <v>211</v>
      </c>
      <c r="C164">
        <v>0</v>
      </c>
      <c r="H164" t="s">
        <v>211</v>
      </c>
      <c r="I164" t="s">
        <v>146</v>
      </c>
      <c r="Q164" t="s">
        <v>211</v>
      </c>
      <c r="R164">
        <v>363.65861699999999</v>
      </c>
      <c r="S164">
        <v>8</v>
      </c>
      <c r="T164">
        <v>130</v>
      </c>
      <c r="V164">
        <v>0</v>
      </c>
      <c r="W164">
        <v>0</v>
      </c>
      <c r="X164" t="s">
        <v>211</v>
      </c>
      <c r="Y164">
        <v>-1</v>
      </c>
      <c r="Z164">
        <v>8</v>
      </c>
      <c r="AA164">
        <v>363.66</v>
      </c>
      <c r="AB164">
        <v>130</v>
      </c>
      <c r="AC164">
        <v>26.03</v>
      </c>
      <c r="AD164">
        <v>0.17</v>
      </c>
      <c r="AE164">
        <v>0.01</v>
      </c>
      <c r="AF164">
        <v>0.02</v>
      </c>
      <c r="AG164">
        <v>1</v>
      </c>
      <c r="AH164">
        <v>26.03</v>
      </c>
      <c r="AI164">
        <v>26.03</v>
      </c>
      <c r="AJ164">
        <v>26.03</v>
      </c>
      <c r="AK164">
        <v>0.17</v>
      </c>
      <c r="AL164">
        <v>0.17</v>
      </c>
      <c r="AM164">
        <v>0.17</v>
      </c>
      <c r="AN164">
        <v>0.01</v>
      </c>
      <c r="AO164">
        <v>0.01</v>
      </c>
      <c r="AP164">
        <v>0.01</v>
      </c>
      <c r="AQ164">
        <v>363.65861699999999</v>
      </c>
      <c r="AR164">
        <v>1</v>
      </c>
      <c r="AS164">
        <f>_xlfn.XLOOKUP(B164,InstallDate!$H$2:$H$389,InstallDate!$BE$2:$BE$389)</f>
        <v>1</v>
      </c>
      <c r="AT164">
        <f t="shared" si="16"/>
        <v>1</v>
      </c>
      <c r="AU164">
        <f t="shared" si="14"/>
        <v>0.20902593752509435</v>
      </c>
      <c r="AV164">
        <f t="shared" si="17"/>
        <v>0</v>
      </c>
      <c r="AW164">
        <f t="shared" si="18"/>
        <v>3</v>
      </c>
      <c r="AX164">
        <f t="shared" si="19"/>
        <v>2</v>
      </c>
      <c r="AY164">
        <f t="shared" si="20"/>
        <v>0</v>
      </c>
      <c r="AZ164">
        <f t="shared" si="15"/>
        <v>3</v>
      </c>
    </row>
    <row r="165" spans="1:52" x14ac:dyDescent="0.2">
      <c r="A165">
        <v>164</v>
      </c>
      <c r="B165" t="s">
        <v>212</v>
      </c>
      <c r="C165">
        <v>0</v>
      </c>
      <c r="H165" t="s">
        <v>212</v>
      </c>
      <c r="I165" t="s">
        <v>146</v>
      </c>
      <c r="Q165" t="s">
        <v>212</v>
      </c>
      <c r="R165">
        <v>606.32443990000002</v>
      </c>
      <c r="S165">
        <v>8</v>
      </c>
      <c r="T165">
        <v>130</v>
      </c>
      <c r="V165">
        <v>0</v>
      </c>
      <c r="W165">
        <v>0</v>
      </c>
      <c r="X165" t="s">
        <v>212</v>
      </c>
      <c r="Y165">
        <v>-1</v>
      </c>
      <c r="Z165">
        <v>8</v>
      </c>
      <c r="AA165">
        <v>606.32000000000005</v>
      </c>
      <c r="AB165">
        <v>130</v>
      </c>
      <c r="AC165">
        <v>27.97</v>
      </c>
      <c r="AD165">
        <v>0.18</v>
      </c>
      <c r="AE165">
        <v>0.01</v>
      </c>
      <c r="AF165">
        <v>0.02</v>
      </c>
      <c r="AG165">
        <v>1</v>
      </c>
      <c r="AH165">
        <v>27.97</v>
      </c>
      <c r="AI165">
        <v>27.97</v>
      </c>
      <c r="AJ165">
        <v>27.97</v>
      </c>
      <c r="AK165">
        <v>0.18</v>
      </c>
      <c r="AL165">
        <v>0.18</v>
      </c>
      <c r="AM165">
        <v>0.18</v>
      </c>
      <c r="AN165">
        <v>0.01</v>
      </c>
      <c r="AO165">
        <v>0.01</v>
      </c>
      <c r="AP165">
        <v>0.01</v>
      </c>
      <c r="AQ165">
        <v>606.32443990000002</v>
      </c>
      <c r="AR165">
        <v>1</v>
      </c>
      <c r="AS165">
        <f>_xlfn.XLOOKUP(B165,InstallDate!$H$2:$H$389,InstallDate!$BE$2:$BE$389)</f>
        <v>1</v>
      </c>
      <c r="AT165">
        <f t="shared" si="16"/>
        <v>1</v>
      </c>
      <c r="AU165">
        <f t="shared" si="14"/>
        <v>0.22460451296876255</v>
      </c>
      <c r="AV165">
        <f t="shared" si="17"/>
        <v>0</v>
      </c>
      <c r="AW165">
        <f t="shared" si="18"/>
        <v>3</v>
      </c>
      <c r="AX165">
        <f t="shared" si="19"/>
        <v>2</v>
      </c>
      <c r="AY165">
        <f t="shared" si="20"/>
        <v>0</v>
      </c>
      <c r="AZ165">
        <f t="shared" si="15"/>
        <v>3</v>
      </c>
    </row>
    <row r="166" spans="1:52" x14ac:dyDescent="0.2">
      <c r="A166">
        <v>165</v>
      </c>
      <c r="B166" t="s">
        <v>213</v>
      </c>
      <c r="C166">
        <v>0</v>
      </c>
      <c r="H166" t="s">
        <v>213</v>
      </c>
      <c r="I166" t="s">
        <v>146</v>
      </c>
      <c r="Q166" t="s">
        <v>213</v>
      </c>
      <c r="R166">
        <v>524.07993160000001</v>
      </c>
      <c r="S166">
        <v>8</v>
      </c>
      <c r="T166">
        <v>130</v>
      </c>
      <c r="V166">
        <v>0</v>
      </c>
      <c r="W166">
        <v>0</v>
      </c>
      <c r="X166" t="s">
        <v>213</v>
      </c>
      <c r="Y166">
        <v>-1</v>
      </c>
      <c r="Z166">
        <v>8</v>
      </c>
      <c r="AA166">
        <v>524.08000000000004</v>
      </c>
      <c r="AB166">
        <v>130</v>
      </c>
      <c r="AC166">
        <v>22.41</v>
      </c>
      <c r="AD166">
        <v>0.14000000000000001</v>
      </c>
      <c r="AE166">
        <v>0.01</v>
      </c>
      <c r="AF166">
        <v>0.02</v>
      </c>
      <c r="AG166">
        <v>1</v>
      </c>
      <c r="AH166">
        <v>22.41</v>
      </c>
      <c r="AI166">
        <v>22.41</v>
      </c>
      <c r="AJ166">
        <v>22.41</v>
      </c>
      <c r="AK166">
        <v>0.14000000000000001</v>
      </c>
      <c r="AL166">
        <v>0.14000000000000001</v>
      </c>
      <c r="AM166">
        <v>0.14000000000000001</v>
      </c>
      <c r="AN166">
        <v>0.01</v>
      </c>
      <c r="AO166">
        <v>0.01</v>
      </c>
      <c r="AP166">
        <v>0.01</v>
      </c>
      <c r="AQ166">
        <v>524.07993160000001</v>
      </c>
      <c r="AR166">
        <v>1</v>
      </c>
      <c r="AS166">
        <f>_xlfn.XLOOKUP(B166,InstallDate!$H$2:$H$389,InstallDate!$BE$2:$BE$389)</f>
        <v>1</v>
      </c>
      <c r="AT166">
        <f t="shared" si="16"/>
        <v>1</v>
      </c>
      <c r="AU166">
        <f t="shared" si="14"/>
        <v>0.17995663695495062</v>
      </c>
      <c r="AV166">
        <f t="shared" si="17"/>
        <v>0</v>
      </c>
      <c r="AW166">
        <f t="shared" si="18"/>
        <v>3</v>
      </c>
      <c r="AX166">
        <f t="shared" si="19"/>
        <v>2</v>
      </c>
      <c r="AY166">
        <f t="shared" si="20"/>
        <v>0</v>
      </c>
      <c r="AZ166">
        <f t="shared" si="15"/>
        <v>3</v>
      </c>
    </row>
    <row r="167" spans="1:52" x14ac:dyDescent="0.2">
      <c r="A167">
        <v>166</v>
      </c>
      <c r="B167" t="s">
        <v>214</v>
      </c>
      <c r="C167">
        <v>0</v>
      </c>
      <c r="H167" t="s">
        <v>214</v>
      </c>
      <c r="I167" t="s">
        <v>146</v>
      </c>
      <c r="Q167" t="s">
        <v>214</v>
      </c>
      <c r="R167">
        <v>204.64589040000001</v>
      </c>
      <c r="S167">
        <v>8</v>
      </c>
      <c r="T167">
        <v>130</v>
      </c>
      <c r="V167">
        <v>0</v>
      </c>
      <c r="W167">
        <v>0</v>
      </c>
      <c r="X167" t="s">
        <v>214</v>
      </c>
      <c r="Y167">
        <v>-1</v>
      </c>
      <c r="Z167">
        <v>8</v>
      </c>
      <c r="AA167">
        <v>204.65</v>
      </c>
      <c r="AB167">
        <v>130</v>
      </c>
      <c r="AC167">
        <v>30.47</v>
      </c>
      <c r="AD167">
        <v>0.19</v>
      </c>
      <c r="AE167">
        <v>0.01</v>
      </c>
      <c r="AF167">
        <v>0.03</v>
      </c>
      <c r="AG167">
        <v>1</v>
      </c>
      <c r="AH167">
        <v>30.47</v>
      </c>
      <c r="AI167">
        <v>30.47</v>
      </c>
      <c r="AJ167">
        <v>30.47</v>
      </c>
      <c r="AK167">
        <v>0.19</v>
      </c>
      <c r="AL167">
        <v>0.19</v>
      </c>
      <c r="AM167">
        <v>0.19</v>
      </c>
      <c r="AN167">
        <v>0.01</v>
      </c>
      <c r="AO167">
        <v>0.01</v>
      </c>
      <c r="AP167">
        <v>0.01</v>
      </c>
      <c r="AQ167">
        <v>204.64589040000001</v>
      </c>
      <c r="AR167">
        <v>1</v>
      </c>
      <c r="AS167">
        <f>_xlfn.XLOOKUP(B167,InstallDate!$H$2:$H$389,InstallDate!$BE$2:$BE$389)</f>
        <v>1</v>
      </c>
      <c r="AT167">
        <f t="shared" si="16"/>
        <v>1</v>
      </c>
      <c r="AU167">
        <f t="shared" si="14"/>
        <v>0.24467999678792257</v>
      </c>
      <c r="AV167">
        <f t="shared" si="17"/>
        <v>0</v>
      </c>
      <c r="AW167">
        <f t="shared" si="18"/>
        <v>3</v>
      </c>
      <c r="AX167">
        <f t="shared" si="19"/>
        <v>2</v>
      </c>
      <c r="AY167">
        <f t="shared" si="20"/>
        <v>0</v>
      </c>
      <c r="AZ167">
        <f t="shared" si="15"/>
        <v>3</v>
      </c>
    </row>
    <row r="168" spans="1:52" x14ac:dyDescent="0.2">
      <c r="A168">
        <v>167</v>
      </c>
      <c r="B168" t="s">
        <v>215</v>
      </c>
      <c r="C168">
        <v>0</v>
      </c>
      <c r="H168" t="s">
        <v>215</v>
      </c>
      <c r="I168" t="s">
        <v>146</v>
      </c>
      <c r="Q168" t="s">
        <v>215</v>
      </c>
      <c r="R168">
        <v>730.12972219999995</v>
      </c>
      <c r="S168">
        <v>8</v>
      </c>
      <c r="T168">
        <v>130</v>
      </c>
      <c r="V168">
        <v>0</v>
      </c>
      <c r="W168">
        <v>0</v>
      </c>
      <c r="X168" t="s">
        <v>215</v>
      </c>
      <c r="Y168">
        <v>-1</v>
      </c>
      <c r="Z168">
        <v>8</v>
      </c>
      <c r="AA168">
        <v>730.13</v>
      </c>
      <c r="AB168">
        <v>130</v>
      </c>
      <c r="AC168">
        <v>32.840000000000003</v>
      </c>
      <c r="AD168">
        <v>0.21</v>
      </c>
      <c r="AE168">
        <v>0.02</v>
      </c>
      <c r="AF168">
        <v>0.03</v>
      </c>
      <c r="AG168">
        <v>1</v>
      </c>
      <c r="AH168">
        <v>32.840000000000003</v>
      </c>
      <c r="AI168">
        <v>32.840000000000003</v>
      </c>
      <c r="AJ168">
        <v>32.840000000000003</v>
      </c>
      <c r="AK168">
        <v>0.21</v>
      </c>
      <c r="AL168">
        <v>0.21</v>
      </c>
      <c r="AM168">
        <v>0.21</v>
      </c>
      <c r="AN168">
        <v>0.02</v>
      </c>
      <c r="AO168">
        <v>0.02</v>
      </c>
      <c r="AP168">
        <v>0.02</v>
      </c>
      <c r="AQ168">
        <v>730.12972219999995</v>
      </c>
      <c r="AR168">
        <v>1</v>
      </c>
      <c r="AS168">
        <f>_xlfn.XLOOKUP(B168,InstallDate!$H$2:$H$389,InstallDate!$BE$2:$BE$389)</f>
        <v>0</v>
      </c>
      <c r="AT168">
        <f t="shared" si="16"/>
        <v>1</v>
      </c>
      <c r="AU168">
        <f t="shared" si="14"/>
        <v>0.26371155544848635</v>
      </c>
      <c r="AV168">
        <f t="shared" si="17"/>
        <v>0</v>
      </c>
      <c r="AW168">
        <f t="shared" si="18"/>
        <v>3</v>
      </c>
      <c r="AX168">
        <f t="shared" si="19"/>
        <v>2</v>
      </c>
      <c r="AY168">
        <f t="shared" si="20"/>
        <v>0</v>
      </c>
      <c r="AZ168">
        <f t="shared" si="15"/>
        <v>2</v>
      </c>
    </row>
    <row r="169" spans="1:52" x14ac:dyDescent="0.2">
      <c r="A169">
        <v>168</v>
      </c>
      <c r="B169" t="s">
        <v>216</v>
      </c>
      <c r="C169">
        <v>0</v>
      </c>
      <c r="H169" t="s">
        <v>216</v>
      </c>
      <c r="I169" t="s">
        <v>146</v>
      </c>
      <c r="Q169" t="s">
        <v>216</v>
      </c>
      <c r="R169">
        <v>20.376255780000001</v>
      </c>
      <c r="S169">
        <v>8</v>
      </c>
      <c r="T169">
        <v>130</v>
      </c>
      <c r="V169">
        <v>0</v>
      </c>
      <c r="W169">
        <v>0</v>
      </c>
      <c r="X169" t="s">
        <v>216</v>
      </c>
      <c r="Y169">
        <v>-1</v>
      </c>
      <c r="Z169">
        <v>8</v>
      </c>
      <c r="AA169">
        <v>20.38</v>
      </c>
      <c r="AB169">
        <v>130</v>
      </c>
      <c r="AC169">
        <v>32.840000000000003</v>
      </c>
      <c r="AD169">
        <v>0.21</v>
      </c>
      <c r="AE169">
        <v>0</v>
      </c>
      <c r="AF169">
        <v>0.03</v>
      </c>
      <c r="AG169">
        <v>1</v>
      </c>
      <c r="AH169">
        <v>32.840000000000003</v>
      </c>
      <c r="AI169">
        <v>32.840000000000003</v>
      </c>
      <c r="AJ169">
        <v>32.840000000000003</v>
      </c>
      <c r="AK169">
        <v>0.21</v>
      </c>
      <c r="AL169">
        <v>0.21</v>
      </c>
      <c r="AM169">
        <v>0.21</v>
      </c>
      <c r="AN169">
        <v>0</v>
      </c>
      <c r="AO169">
        <v>0</v>
      </c>
      <c r="AP169">
        <v>0</v>
      </c>
      <c r="AQ169">
        <v>20.376255780000001</v>
      </c>
      <c r="AR169">
        <v>1</v>
      </c>
      <c r="AS169">
        <f>_xlfn.XLOOKUP(B169,InstallDate!$H$2:$H$389,InstallDate!$BE$2:$BE$389)</f>
        <v>1</v>
      </c>
      <c r="AT169">
        <f t="shared" si="16"/>
        <v>1</v>
      </c>
      <c r="AU169">
        <f t="shared" si="14"/>
        <v>0.26371155544848635</v>
      </c>
      <c r="AV169">
        <f t="shared" si="17"/>
        <v>0</v>
      </c>
      <c r="AW169">
        <f t="shared" si="18"/>
        <v>3</v>
      </c>
      <c r="AX169">
        <f t="shared" si="19"/>
        <v>2</v>
      </c>
      <c r="AY169">
        <f t="shared" si="20"/>
        <v>0</v>
      </c>
      <c r="AZ169">
        <f t="shared" si="15"/>
        <v>3</v>
      </c>
    </row>
    <row r="170" spans="1:52" x14ac:dyDescent="0.2">
      <c r="A170">
        <v>169</v>
      </c>
      <c r="B170" t="s">
        <v>217</v>
      </c>
      <c r="C170">
        <v>0</v>
      </c>
      <c r="H170" t="s">
        <v>217</v>
      </c>
      <c r="I170" t="s">
        <v>158</v>
      </c>
      <c r="Q170" t="s">
        <v>217</v>
      </c>
      <c r="R170">
        <v>26.929184039999999</v>
      </c>
      <c r="S170">
        <v>8</v>
      </c>
      <c r="T170">
        <v>130</v>
      </c>
      <c r="V170">
        <v>0</v>
      </c>
      <c r="W170">
        <v>0</v>
      </c>
      <c r="X170" t="s">
        <v>217</v>
      </c>
      <c r="Y170">
        <v>-1</v>
      </c>
      <c r="Z170">
        <v>8</v>
      </c>
      <c r="AA170">
        <v>26.93</v>
      </c>
      <c r="AB170">
        <v>130</v>
      </c>
      <c r="AC170">
        <v>72.81</v>
      </c>
      <c r="AD170">
        <v>0.46</v>
      </c>
      <c r="AE170">
        <v>0</v>
      </c>
      <c r="AF170">
        <v>0.14000000000000001</v>
      </c>
      <c r="AG170">
        <v>1</v>
      </c>
      <c r="AH170">
        <v>72.81</v>
      </c>
      <c r="AI170">
        <v>72.81</v>
      </c>
      <c r="AJ170">
        <v>72.81</v>
      </c>
      <c r="AK170">
        <v>0.46</v>
      </c>
      <c r="AL170">
        <v>0.46</v>
      </c>
      <c r="AM170">
        <v>0.46</v>
      </c>
      <c r="AN170">
        <v>0</v>
      </c>
      <c r="AO170">
        <v>0</v>
      </c>
      <c r="AP170">
        <v>0</v>
      </c>
      <c r="AQ170">
        <v>26.929184039999999</v>
      </c>
      <c r="AR170">
        <v>0</v>
      </c>
      <c r="AS170">
        <f>_xlfn.XLOOKUP(B170,InstallDate!$H$2:$H$389,InstallDate!$BE$2:$BE$389)</f>
        <v>0</v>
      </c>
      <c r="AT170">
        <f t="shared" si="16"/>
        <v>0</v>
      </c>
      <c r="AU170">
        <f t="shared" si="14"/>
        <v>0.58467839074921701</v>
      </c>
      <c r="AV170">
        <f t="shared" si="17"/>
        <v>4</v>
      </c>
      <c r="AW170">
        <f t="shared" si="18"/>
        <v>3</v>
      </c>
      <c r="AX170">
        <f t="shared" si="19"/>
        <v>2</v>
      </c>
      <c r="AY170">
        <f t="shared" si="20"/>
        <v>0</v>
      </c>
      <c r="AZ170">
        <f t="shared" si="15"/>
        <v>2</v>
      </c>
    </row>
    <row r="171" spans="1:52" x14ac:dyDescent="0.2">
      <c r="A171">
        <v>170</v>
      </c>
      <c r="B171" t="s">
        <v>218</v>
      </c>
      <c r="C171">
        <v>0</v>
      </c>
      <c r="H171" t="s">
        <v>218</v>
      </c>
      <c r="I171" t="s">
        <v>158</v>
      </c>
      <c r="Q171" t="s">
        <v>218</v>
      </c>
      <c r="R171">
        <v>222.11533080000001</v>
      </c>
      <c r="S171">
        <v>8</v>
      </c>
      <c r="T171">
        <v>130</v>
      </c>
      <c r="V171">
        <v>0</v>
      </c>
      <c r="W171">
        <v>0</v>
      </c>
      <c r="X171" t="s">
        <v>218</v>
      </c>
      <c r="Y171">
        <v>-1</v>
      </c>
      <c r="Z171">
        <v>8</v>
      </c>
      <c r="AA171">
        <v>222.12</v>
      </c>
      <c r="AB171">
        <v>130</v>
      </c>
      <c r="AC171">
        <v>72.81</v>
      </c>
      <c r="AD171">
        <v>0.46</v>
      </c>
      <c r="AE171">
        <v>0.03</v>
      </c>
      <c r="AF171">
        <v>0.14000000000000001</v>
      </c>
      <c r="AG171">
        <v>1</v>
      </c>
      <c r="AH171">
        <v>72.81</v>
      </c>
      <c r="AI171">
        <v>72.81</v>
      </c>
      <c r="AJ171">
        <v>72.81</v>
      </c>
      <c r="AK171">
        <v>0.46</v>
      </c>
      <c r="AL171">
        <v>0.46</v>
      </c>
      <c r="AM171">
        <v>0.46</v>
      </c>
      <c r="AN171">
        <v>0.03</v>
      </c>
      <c r="AO171">
        <v>0.03</v>
      </c>
      <c r="AP171">
        <v>0.03</v>
      </c>
      <c r="AQ171">
        <v>222.11533080000001</v>
      </c>
      <c r="AR171">
        <v>0</v>
      </c>
      <c r="AS171">
        <f>_xlfn.XLOOKUP(B171,InstallDate!$H$2:$H$389,InstallDate!$BE$2:$BE$389)</f>
        <v>0</v>
      </c>
      <c r="AT171">
        <f t="shared" si="16"/>
        <v>0</v>
      </c>
      <c r="AU171">
        <f t="shared" si="14"/>
        <v>0.58467839074921701</v>
      </c>
      <c r="AV171">
        <f t="shared" si="17"/>
        <v>4</v>
      </c>
      <c r="AW171">
        <f t="shared" si="18"/>
        <v>3</v>
      </c>
      <c r="AX171">
        <f t="shared" si="19"/>
        <v>2</v>
      </c>
      <c r="AY171">
        <f t="shared" si="20"/>
        <v>0</v>
      </c>
      <c r="AZ171">
        <f t="shared" si="15"/>
        <v>2</v>
      </c>
    </row>
    <row r="172" spans="1:52" x14ac:dyDescent="0.2">
      <c r="A172">
        <v>171</v>
      </c>
      <c r="B172" t="s">
        <v>219</v>
      </c>
      <c r="C172">
        <v>0</v>
      </c>
      <c r="H172" t="s">
        <v>219</v>
      </c>
      <c r="I172" t="s">
        <v>158</v>
      </c>
      <c r="Q172" t="s">
        <v>219</v>
      </c>
      <c r="R172">
        <v>67.193306089999993</v>
      </c>
      <c r="S172">
        <v>8</v>
      </c>
      <c r="T172">
        <v>130</v>
      </c>
      <c r="V172">
        <v>0</v>
      </c>
      <c r="W172">
        <v>0</v>
      </c>
      <c r="X172" t="s">
        <v>219</v>
      </c>
      <c r="Y172">
        <v>-1</v>
      </c>
      <c r="Z172">
        <v>8</v>
      </c>
      <c r="AA172">
        <v>67.19</v>
      </c>
      <c r="AB172">
        <v>130</v>
      </c>
      <c r="AC172">
        <v>72.819999999999993</v>
      </c>
      <c r="AD172">
        <v>0.46</v>
      </c>
      <c r="AE172">
        <v>0.01</v>
      </c>
      <c r="AF172">
        <v>0.14000000000000001</v>
      </c>
      <c r="AG172">
        <v>1</v>
      </c>
      <c r="AH172">
        <v>72.819999999999993</v>
      </c>
      <c r="AI172">
        <v>72.819999999999993</v>
      </c>
      <c r="AJ172">
        <v>72.819999999999993</v>
      </c>
      <c r="AK172">
        <v>0.46</v>
      </c>
      <c r="AL172">
        <v>0.46</v>
      </c>
      <c r="AM172">
        <v>0.46</v>
      </c>
      <c r="AN172">
        <v>0.01</v>
      </c>
      <c r="AO172">
        <v>0.01</v>
      </c>
      <c r="AP172">
        <v>0.01</v>
      </c>
      <c r="AQ172">
        <v>67.193306089999993</v>
      </c>
      <c r="AR172">
        <v>0</v>
      </c>
      <c r="AS172">
        <f>_xlfn.XLOOKUP(B172,InstallDate!$H$2:$H$389,InstallDate!$BE$2:$BE$389)</f>
        <v>0</v>
      </c>
      <c r="AT172">
        <f t="shared" si="16"/>
        <v>0</v>
      </c>
      <c r="AU172">
        <f t="shared" si="14"/>
        <v>0.58475869268449365</v>
      </c>
      <c r="AV172">
        <f t="shared" si="17"/>
        <v>4</v>
      </c>
      <c r="AW172">
        <f t="shared" si="18"/>
        <v>3</v>
      </c>
      <c r="AX172">
        <f t="shared" si="19"/>
        <v>2</v>
      </c>
      <c r="AY172">
        <f t="shared" si="20"/>
        <v>0</v>
      </c>
      <c r="AZ172">
        <f t="shared" si="15"/>
        <v>2</v>
      </c>
    </row>
    <row r="173" spans="1:52" x14ac:dyDescent="0.2">
      <c r="A173">
        <v>172</v>
      </c>
      <c r="B173" t="s">
        <v>220</v>
      </c>
      <c r="C173">
        <v>0</v>
      </c>
      <c r="H173" t="s">
        <v>220</v>
      </c>
      <c r="I173" t="s">
        <v>158</v>
      </c>
      <c r="Q173" t="s">
        <v>220</v>
      </c>
      <c r="R173">
        <v>1129.798196</v>
      </c>
      <c r="S173">
        <v>8</v>
      </c>
      <c r="T173">
        <v>130</v>
      </c>
      <c r="V173">
        <v>0</v>
      </c>
      <c r="W173">
        <v>0</v>
      </c>
      <c r="X173" t="s">
        <v>220</v>
      </c>
      <c r="Y173">
        <v>-1</v>
      </c>
      <c r="Z173">
        <v>8</v>
      </c>
      <c r="AA173">
        <v>1129.8</v>
      </c>
      <c r="AB173">
        <v>130</v>
      </c>
      <c r="AC173">
        <v>72.819999999999993</v>
      </c>
      <c r="AD173">
        <v>0.46</v>
      </c>
      <c r="AE173">
        <v>0.16</v>
      </c>
      <c r="AF173">
        <v>0.14000000000000001</v>
      </c>
      <c r="AG173">
        <v>1</v>
      </c>
      <c r="AH173">
        <v>72.819999999999993</v>
      </c>
      <c r="AI173">
        <v>72.819999999999993</v>
      </c>
      <c r="AJ173">
        <v>72.819999999999993</v>
      </c>
      <c r="AK173">
        <v>0.46</v>
      </c>
      <c r="AL173">
        <v>0.46</v>
      </c>
      <c r="AM173">
        <v>0.46</v>
      </c>
      <c r="AN173">
        <v>0.16</v>
      </c>
      <c r="AO173">
        <v>0.16</v>
      </c>
      <c r="AP173">
        <v>0.16</v>
      </c>
      <c r="AQ173">
        <v>1129.798196</v>
      </c>
      <c r="AR173">
        <v>0</v>
      </c>
      <c r="AS173">
        <f>_xlfn.XLOOKUP(B173,InstallDate!$H$2:$H$389,InstallDate!$BE$2:$BE$389)</f>
        <v>1</v>
      </c>
      <c r="AT173">
        <f t="shared" si="16"/>
        <v>1</v>
      </c>
      <c r="AU173">
        <f t="shared" si="14"/>
        <v>0.58475869268449365</v>
      </c>
      <c r="AV173">
        <f t="shared" si="17"/>
        <v>4</v>
      </c>
      <c r="AW173">
        <f t="shared" si="18"/>
        <v>3</v>
      </c>
      <c r="AX173">
        <f t="shared" si="19"/>
        <v>2</v>
      </c>
      <c r="AY173">
        <f t="shared" si="20"/>
        <v>0</v>
      </c>
      <c r="AZ173">
        <f t="shared" si="15"/>
        <v>3</v>
      </c>
    </row>
    <row r="174" spans="1:52" x14ac:dyDescent="0.2">
      <c r="A174">
        <v>173</v>
      </c>
      <c r="B174" t="s">
        <v>221</v>
      </c>
      <c r="C174">
        <v>0</v>
      </c>
      <c r="H174" t="s">
        <v>221</v>
      </c>
      <c r="I174" t="s">
        <v>158</v>
      </c>
      <c r="Q174" t="s">
        <v>221</v>
      </c>
      <c r="R174">
        <v>395.68442270000003</v>
      </c>
      <c r="S174">
        <v>8</v>
      </c>
      <c r="T174">
        <v>130</v>
      </c>
      <c r="V174">
        <v>0</v>
      </c>
      <c r="W174">
        <v>0</v>
      </c>
      <c r="X174" t="s">
        <v>221</v>
      </c>
      <c r="Y174">
        <v>-1</v>
      </c>
      <c r="Z174">
        <v>8</v>
      </c>
      <c r="AA174">
        <v>395.68</v>
      </c>
      <c r="AB174">
        <v>130</v>
      </c>
      <c r="AC174">
        <v>72.819999999999993</v>
      </c>
      <c r="AD174">
        <v>0.46</v>
      </c>
      <c r="AE174">
        <v>0.06</v>
      </c>
      <c r="AF174">
        <v>0.14000000000000001</v>
      </c>
      <c r="AG174">
        <v>1</v>
      </c>
      <c r="AH174">
        <v>72.819999999999993</v>
      </c>
      <c r="AI174">
        <v>72.819999999999993</v>
      </c>
      <c r="AJ174">
        <v>72.819999999999993</v>
      </c>
      <c r="AK174">
        <v>0.46</v>
      </c>
      <c r="AL174">
        <v>0.46</v>
      </c>
      <c r="AM174">
        <v>0.46</v>
      </c>
      <c r="AN174">
        <v>0.06</v>
      </c>
      <c r="AO174">
        <v>0.06</v>
      </c>
      <c r="AP174">
        <v>0.06</v>
      </c>
      <c r="AQ174">
        <v>395.68442270000003</v>
      </c>
      <c r="AR174">
        <v>0</v>
      </c>
      <c r="AS174">
        <f>_xlfn.XLOOKUP(B174,InstallDate!$H$2:$H$389,InstallDate!$BE$2:$BE$389)</f>
        <v>1</v>
      </c>
      <c r="AT174">
        <f t="shared" si="16"/>
        <v>1</v>
      </c>
      <c r="AU174">
        <f t="shared" si="14"/>
        <v>0.58475869268449365</v>
      </c>
      <c r="AV174">
        <f t="shared" si="17"/>
        <v>4</v>
      </c>
      <c r="AW174">
        <f t="shared" si="18"/>
        <v>3</v>
      </c>
      <c r="AX174">
        <f t="shared" si="19"/>
        <v>2</v>
      </c>
      <c r="AY174">
        <f t="shared" si="20"/>
        <v>0</v>
      </c>
      <c r="AZ174">
        <f t="shared" si="15"/>
        <v>3</v>
      </c>
    </row>
    <row r="175" spans="1:52" x14ac:dyDescent="0.2">
      <c r="A175">
        <v>174</v>
      </c>
      <c r="B175" t="s">
        <v>222</v>
      </c>
      <c r="C175">
        <v>0</v>
      </c>
      <c r="H175" t="s">
        <v>222</v>
      </c>
      <c r="I175" t="s">
        <v>158</v>
      </c>
      <c r="Q175" t="s">
        <v>222</v>
      </c>
      <c r="R175">
        <v>71.960081020000004</v>
      </c>
      <c r="S175">
        <v>8</v>
      </c>
      <c r="T175">
        <v>130</v>
      </c>
      <c r="V175">
        <v>0</v>
      </c>
      <c r="W175">
        <v>0</v>
      </c>
      <c r="X175" t="s">
        <v>222</v>
      </c>
      <c r="Y175">
        <v>-1</v>
      </c>
      <c r="Z175">
        <v>8</v>
      </c>
      <c r="AA175">
        <v>71.959999999999994</v>
      </c>
      <c r="AB175">
        <v>130</v>
      </c>
      <c r="AC175">
        <v>72.819999999999993</v>
      </c>
      <c r="AD175">
        <v>0.46</v>
      </c>
      <c r="AE175">
        <v>0.01</v>
      </c>
      <c r="AF175">
        <v>0.14000000000000001</v>
      </c>
      <c r="AG175">
        <v>1</v>
      </c>
      <c r="AH175">
        <v>72.819999999999993</v>
      </c>
      <c r="AI175">
        <v>72.819999999999993</v>
      </c>
      <c r="AJ175">
        <v>72.819999999999993</v>
      </c>
      <c r="AK175">
        <v>0.46</v>
      </c>
      <c r="AL175">
        <v>0.46</v>
      </c>
      <c r="AM175">
        <v>0.46</v>
      </c>
      <c r="AN175">
        <v>0.01</v>
      </c>
      <c r="AO175">
        <v>0.01</v>
      </c>
      <c r="AP175">
        <v>0.01</v>
      </c>
      <c r="AQ175">
        <v>71.960081020000004</v>
      </c>
      <c r="AR175">
        <v>0</v>
      </c>
      <c r="AS175">
        <f>_xlfn.XLOOKUP(B175,InstallDate!$H$2:$H$389,InstallDate!$BE$2:$BE$389)</f>
        <v>1</v>
      </c>
      <c r="AT175">
        <f t="shared" si="16"/>
        <v>1</v>
      </c>
      <c r="AU175">
        <f t="shared" si="14"/>
        <v>0.58475869268449365</v>
      </c>
      <c r="AV175">
        <f t="shared" si="17"/>
        <v>4</v>
      </c>
      <c r="AW175">
        <f t="shared" si="18"/>
        <v>3</v>
      </c>
      <c r="AX175">
        <f t="shared" si="19"/>
        <v>2</v>
      </c>
      <c r="AY175">
        <f t="shared" si="20"/>
        <v>0</v>
      </c>
      <c r="AZ175">
        <f t="shared" si="15"/>
        <v>3</v>
      </c>
    </row>
    <row r="176" spans="1:52" x14ac:dyDescent="0.2">
      <c r="A176">
        <v>175</v>
      </c>
      <c r="B176" t="s">
        <v>223</v>
      </c>
      <c r="C176">
        <v>0</v>
      </c>
      <c r="H176" t="s">
        <v>223</v>
      </c>
      <c r="I176" t="s">
        <v>148</v>
      </c>
      <c r="Q176" t="s">
        <v>223</v>
      </c>
      <c r="R176">
        <v>27.698200379999999</v>
      </c>
      <c r="S176">
        <v>6</v>
      </c>
      <c r="T176">
        <v>130</v>
      </c>
      <c r="V176">
        <v>0</v>
      </c>
      <c r="W176">
        <v>0</v>
      </c>
      <c r="X176" t="s">
        <v>223</v>
      </c>
      <c r="Y176">
        <v>-1</v>
      </c>
      <c r="Z176">
        <v>6</v>
      </c>
      <c r="AA176">
        <v>27.7</v>
      </c>
      <c r="AB176">
        <v>130</v>
      </c>
      <c r="AC176">
        <v>17.43</v>
      </c>
      <c r="AD176">
        <v>0.2</v>
      </c>
      <c r="AE176">
        <v>0</v>
      </c>
      <c r="AF176">
        <v>0.04</v>
      </c>
      <c r="AG176">
        <v>1</v>
      </c>
      <c r="AH176">
        <v>17.43</v>
      </c>
      <c r="AI176">
        <v>17.43</v>
      </c>
      <c r="AJ176">
        <v>17.43</v>
      </c>
      <c r="AK176">
        <v>0.2</v>
      </c>
      <c r="AL176">
        <v>0.2</v>
      </c>
      <c r="AM176">
        <v>0.2</v>
      </c>
      <c r="AN176">
        <v>0</v>
      </c>
      <c r="AO176">
        <v>0</v>
      </c>
      <c r="AP176">
        <v>0</v>
      </c>
      <c r="AQ176">
        <v>27.698200379999999</v>
      </c>
      <c r="AR176">
        <v>0</v>
      </c>
      <c r="AS176">
        <f>_xlfn.XLOOKUP(B176,InstallDate!$H$2:$H$389,InstallDate!$BE$2:$BE$389)</f>
        <v>0</v>
      </c>
      <c r="AT176">
        <f t="shared" si="16"/>
        <v>0</v>
      </c>
      <c r="AU176">
        <f t="shared" si="14"/>
        <v>0.1399662731871838</v>
      </c>
      <c r="AV176">
        <f t="shared" si="17"/>
        <v>0</v>
      </c>
      <c r="AW176">
        <f t="shared" si="18"/>
        <v>0</v>
      </c>
      <c r="AX176">
        <f t="shared" si="19"/>
        <v>2</v>
      </c>
      <c r="AY176">
        <f t="shared" si="20"/>
        <v>0</v>
      </c>
      <c r="AZ176">
        <f t="shared" si="15"/>
        <v>2</v>
      </c>
    </row>
    <row r="177" spans="1:52" x14ac:dyDescent="0.2">
      <c r="A177">
        <v>176</v>
      </c>
      <c r="B177" t="s">
        <v>224</v>
      </c>
      <c r="C177">
        <v>0</v>
      </c>
      <c r="H177" t="s">
        <v>224</v>
      </c>
      <c r="I177" t="s">
        <v>148</v>
      </c>
      <c r="Q177" t="s">
        <v>224</v>
      </c>
      <c r="R177">
        <v>254.925162</v>
      </c>
      <c r="S177">
        <v>6</v>
      </c>
      <c r="T177">
        <v>130</v>
      </c>
      <c r="V177">
        <v>0</v>
      </c>
      <c r="W177">
        <v>0</v>
      </c>
      <c r="X177" t="s">
        <v>224</v>
      </c>
      <c r="Y177">
        <v>-1</v>
      </c>
      <c r="Z177">
        <v>6</v>
      </c>
      <c r="AA177">
        <v>254.93</v>
      </c>
      <c r="AB177">
        <v>130</v>
      </c>
      <c r="AC177">
        <v>17.43</v>
      </c>
      <c r="AD177">
        <v>0.2</v>
      </c>
      <c r="AE177">
        <v>0.01</v>
      </c>
      <c r="AF177">
        <v>0.04</v>
      </c>
      <c r="AG177">
        <v>1</v>
      </c>
      <c r="AH177">
        <v>17.43</v>
      </c>
      <c r="AI177">
        <v>17.43</v>
      </c>
      <c r="AJ177">
        <v>17.43</v>
      </c>
      <c r="AK177">
        <v>0.2</v>
      </c>
      <c r="AL177">
        <v>0.2</v>
      </c>
      <c r="AM177">
        <v>0.2</v>
      </c>
      <c r="AN177">
        <v>0.01</v>
      </c>
      <c r="AO177">
        <v>0.01</v>
      </c>
      <c r="AP177">
        <v>0.01</v>
      </c>
      <c r="AQ177">
        <v>254.925162</v>
      </c>
      <c r="AR177">
        <v>0</v>
      </c>
      <c r="AS177">
        <f>_xlfn.XLOOKUP(B177,InstallDate!$H$2:$H$389,InstallDate!$BE$2:$BE$389)</f>
        <v>0</v>
      </c>
      <c r="AT177">
        <f t="shared" si="16"/>
        <v>0</v>
      </c>
      <c r="AU177">
        <f t="shared" si="14"/>
        <v>0.1399662731871838</v>
      </c>
      <c r="AV177">
        <f t="shared" si="17"/>
        <v>0</v>
      </c>
      <c r="AW177">
        <f t="shared" si="18"/>
        <v>0</v>
      </c>
      <c r="AX177">
        <f t="shared" si="19"/>
        <v>2</v>
      </c>
      <c r="AY177">
        <f t="shared" si="20"/>
        <v>0</v>
      </c>
      <c r="AZ177">
        <f t="shared" si="15"/>
        <v>2</v>
      </c>
    </row>
    <row r="178" spans="1:52" x14ac:dyDescent="0.2">
      <c r="A178">
        <v>177</v>
      </c>
      <c r="B178" t="s">
        <v>225</v>
      </c>
      <c r="C178">
        <v>0</v>
      </c>
      <c r="H178" t="s">
        <v>225</v>
      </c>
      <c r="I178" t="s">
        <v>148</v>
      </c>
      <c r="Q178" t="s">
        <v>225</v>
      </c>
      <c r="R178">
        <v>43.570652240000001</v>
      </c>
      <c r="S178">
        <v>6</v>
      </c>
      <c r="T178">
        <v>130</v>
      </c>
      <c r="V178">
        <v>0</v>
      </c>
      <c r="W178">
        <v>0</v>
      </c>
      <c r="X178" t="s">
        <v>225</v>
      </c>
      <c r="Y178">
        <v>-1</v>
      </c>
      <c r="Z178">
        <v>6</v>
      </c>
      <c r="AA178">
        <v>43.57</v>
      </c>
      <c r="AB178">
        <v>130</v>
      </c>
      <c r="AC178">
        <v>10.96</v>
      </c>
      <c r="AD178">
        <v>0.12</v>
      </c>
      <c r="AE178">
        <v>0</v>
      </c>
      <c r="AF178">
        <v>0.02</v>
      </c>
      <c r="AG178">
        <v>1</v>
      </c>
      <c r="AH178">
        <v>10.96</v>
      </c>
      <c r="AI178">
        <v>10.96</v>
      </c>
      <c r="AJ178">
        <v>10.96</v>
      </c>
      <c r="AK178">
        <v>0.12</v>
      </c>
      <c r="AL178">
        <v>0.12</v>
      </c>
      <c r="AM178">
        <v>0.12</v>
      </c>
      <c r="AN178">
        <v>0</v>
      </c>
      <c r="AO178">
        <v>0</v>
      </c>
      <c r="AP178">
        <v>0</v>
      </c>
      <c r="AQ178">
        <v>43.570652240000001</v>
      </c>
      <c r="AR178">
        <v>0</v>
      </c>
      <c r="AS178">
        <f>_xlfn.XLOOKUP(B178,InstallDate!$H$2:$H$389,InstallDate!$BE$2:$BE$389)</f>
        <v>0</v>
      </c>
      <c r="AT178">
        <f t="shared" si="16"/>
        <v>0</v>
      </c>
      <c r="AU178">
        <f t="shared" si="14"/>
        <v>8.8010921063197634E-2</v>
      </c>
      <c r="AV178">
        <f t="shared" si="17"/>
        <v>0</v>
      </c>
      <c r="AW178">
        <f t="shared" si="18"/>
        <v>0</v>
      </c>
      <c r="AX178">
        <f t="shared" si="19"/>
        <v>2</v>
      </c>
      <c r="AY178">
        <f t="shared" si="20"/>
        <v>0</v>
      </c>
      <c r="AZ178">
        <f t="shared" si="15"/>
        <v>2</v>
      </c>
    </row>
    <row r="179" spans="1:52" x14ac:dyDescent="0.2">
      <c r="A179">
        <v>178</v>
      </c>
      <c r="B179" t="s">
        <v>226</v>
      </c>
      <c r="C179">
        <v>0</v>
      </c>
      <c r="H179" t="s">
        <v>226</v>
      </c>
      <c r="I179" t="s">
        <v>148</v>
      </c>
      <c r="Q179" t="s">
        <v>226</v>
      </c>
      <c r="R179">
        <v>18.737498259999999</v>
      </c>
      <c r="S179">
        <v>6</v>
      </c>
      <c r="T179">
        <v>130</v>
      </c>
      <c r="V179">
        <v>0</v>
      </c>
      <c r="W179">
        <v>0</v>
      </c>
      <c r="X179" t="s">
        <v>226</v>
      </c>
      <c r="Y179">
        <v>-1</v>
      </c>
      <c r="Z179">
        <v>6</v>
      </c>
      <c r="AA179">
        <v>18.739999999999998</v>
      </c>
      <c r="AB179">
        <v>130</v>
      </c>
      <c r="AC179">
        <v>11.1</v>
      </c>
      <c r="AD179">
        <v>0.13</v>
      </c>
      <c r="AE179">
        <v>0</v>
      </c>
      <c r="AF179">
        <v>0.02</v>
      </c>
      <c r="AG179">
        <v>1</v>
      </c>
      <c r="AH179">
        <v>11.1</v>
      </c>
      <c r="AI179">
        <v>11.1</v>
      </c>
      <c r="AJ179">
        <v>11.1</v>
      </c>
      <c r="AK179">
        <v>0.13</v>
      </c>
      <c r="AL179">
        <v>0.13</v>
      </c>
      <c r="AM179">
        <v>0.13</v>
      </c>
      <c r="AN179">
        <v>0</v>
      </c>
      <c r="AO179">
        <v>0</v>
      </c>
      <c r="AP179">
        <v>0</v>
      </c>
      <c r="AQ179">
        <v>18.737498259999999</v>
      </c>
      <c r="AR179">
        <v>0</v>
      </c>
      <c r="AS179">
        <f>_xlfn.XLOOKUP(B179,InstallDate!$H$2:$H$389,InstallDate!$BE$2:$BE$389)</f>
        <v>0</v>
      </c>
      <c r="AT179">
        <f t="shared" si="16"/>
        <v>0</v>
      </c>
      <c r="AU179">
        <f t="shared" si="14"/>
        <v>8.9135148157070576E-2</v>
      </c>
      <c r="AV179">
        <f t="shared" si="17"/>
        <v>0</v>
      </c>
      <c r="AW179">
        <f t="shared" si="18"/>
        <v>0</v>
      </c>
      <c r="AX179">
        <f t="shared" si="19"/>
        <v>2</v>
      </c>
      <c r="AY179">
        <f t="shared" si="20"/>
        <v>0</v>
      </c>
      <c r="AZ179">
        <f t="shared" si="15"/>
        <v>2</v>
      </c>
    </row>
    <row r="180" spans="1:52" x14ac:dyDescent="0.2">
      <c r="A180">
        <v>179</v>
      </c>
      <c r="B180" t="s">
        <v>227</v>
      </c>
      <c r="C180">
        <v>0</v>
      </c>
      <c r="H180" t="s">
        <v>227</v>
      </c>
      <c r="I180" t="s">
        <v>148</v>
      </c>
      <c r="Q180" t="s">
        <v>227</v>
      </c>
      <c r="R180">
        <v>697.2017257</v>
      </c>
      <c r="S180">
        <v>6</v>
      </c>
      <c r="T180">
        <v>130</v>
      </c>
      <c r="V180">
        <v>0</v>
      </c>
      <c r="W180">
        <v>0</v>
      </c>
      <c r="X180" t="s">
        <v>227</v>
      </c>
      <c r="Y180">
        <v>-1</v>
      </c>
      <c r="Z180">
        <v>6</v>
      </c>
      <c r="AA180">
        <v>697.2</v>
      </c>
      <c r="AB180">
        <v>130</v>
      </c>
      <c r="AC180">
        <v>11.66</v>
      </c>
      <c r="AD180">
        <v>0.13</v>
      </c>
      <c r="AE180">
        <v>0.01</v>
      </c>
      <c r="AF180">
        <v>0.02</v>
      </c>
      <c r="AG180">
        <v>1</v>
      </c>
      <c r="AH180">
        <v>11.66</v>
      </c>
      <c r="AI180">
        <v>11.66</v>
      </c>
      <c r="AJ180">
        <v>11.66</v>
      </c>
      <c r="AK180">
        <v>0.13</v>
      </c>
      <c r="AL180">
        <v>0.13</v>
      </c>
      <c r="AM180">
        <v>0.13</v>
      </c>
      <c r="AN180">
        <v>0.01</v>
      </c>
      <c r="AO180">
        <v>0.01</v>
      </c>
      <c r="AP180">
        <v>0.01</v>
      </c>
      <c r="AQ180">
        <v>697.2017257</v>
      </c>
      <c r="AR180">
        <v>0</v>
      </c>
      <c r="AS180">
        <f>_xlfn.XLOOKUP(B180,InstallDate!$H$2:$H$389,InstallDate!$BE$2:$BE$389)</f>
        <v>0</v>
      </c>
      <c r="AT180">
        <f t="shared" si="16"/>
        <v>0</v>
      </c>
      <c r="AU180">
        <f t="shared" si="14"/>
        <v>9.363205653256243E-2</v>
      </c>
      <c r="AV180">
        <f t="shared" si="17"/>
        <v>0</v>
      </c>
      <c r="AW180">
        <f t="shared" si="18"/>
        <v>0</v>
      </c>
      <c r="AX180">
        <f t="shared" si="19"/>
        <v>2</v>
      </c>
      <c r="AY180">
        <f t="shared" si="20"/>
        <v>0</v>
      </c>
      <c r="AZ180">
        <f t="shared" si="15"/>
        <v>2</v>
      </c>
    </row>
    <row r="181" spans="1:52" x14ac:dyDescent="0.2">
      <c r="A181">
        <v>180</v>
      </c>
      <c r="B181" t="s">
        <v>228</v>
      </c>
      <c r="C181">
        <v>0</v>
      </c>
      <c r="H181" t="s">
        <v>228</v>
      </c>
      <c r="I181" t="s">
        <v>158</v>
      </c>
      <c r="Q181" t="s">
        <v>228</v>
      </c>
      <c r="R181">
        <v>26.887138230000001</v>
      </c>
      <c r="S181">
        <v>6</v>
      </c>
      <c r="T181">
        <v>130</v>
      </c>
      <c r="V181">
        <v>0</v>
      </c>
      <c r="W181">
        <v>0</v>
      </c>
      <c r="X181" t="s">
        <v>228</v>
      </c>
      <c r="Y181">
        <v>-1</v>
      </c>
      <c r="Z181">
        <v>6</v>
      </c>
      <c r="AA181">
        <v>26.89</v>
      </c>
      <c r="AB181">
        <v>130</v>
      </c>
      <c r="AC181">
        <v>21.46</v>
      </c>
      <c r="AD181">
        <v>0.24</v>
      </c>
      <c r="AE181">
        <v>0</v>
      </c>
      <c r="AF181">
        <v>0.06</v>
      </c>
      <c r="AG181">
        <v>1</v>
      </c>
      <c r="AH181">
        <v>21.46</v>
      </c>
      <c r="AI181">
        <v>21.46</v>
      </c>
      <c r="AJ181">
        <v>21.46</v>
      </c>
      <c r="AK181">
        <v>0.24</v>
      </c>
      <c r="AL181">
        <v>0.24</v>
      </c>
      <c r="AM181">
        <v>0.24</v>
      </c>
      <c r="AN181">
        <v>0</v>
      </c>
      <c r="AO181">
        <v>0</v>
      </c>
      <c r="AP181">
        <v>0</v>
      </c>
      <c r="AQ181">
        <v>26.887138230000001</v>
      </c>
      <c r="AR181">
        <v>0</v>
      </c>
      <c r="AS181">
        <f>_xlfn.XLOOKUP(B181,InstallDate!$H$2:$H$389,InstallDate!$BE$2:$BE$389)</f>
        <v>0</v>
      </c>
      <c r="AT181">
        <f t="shared" si="16"/>
        <v>0</v>
      </c>
      <c r="AU181">
        <f t="shared" si="14"/>
        <v>0.1723279531036698</v>
      </c>
      <c r="AV181">
        <f t="shared" si="17"/>
        <v>0</v>
      </c>
      <c r="AW181">
        <f t="shared" si="18"/>
        <v>3</v>
      </c>
      <c r="AX181">
        <f t="shared" si="19"/>
        <v>2</v>
      </c>
      <c r="AY181">
        <f t="shared" si="20"/>
        <v>0</v>
      </c>
      <c r="AZ181">
        <f t="shared" si="15"/>
        <v>2</v>
      </c>
    </row>
    <row r="182" spans="1:52" x14ac:dyDescent="0.2">
      <c r="A182">
        <v>181</v>
      </c>
      <c r="B182" t="s">
        <v>229</v>
      </c>
      <c r="C182">
        <v>0</v>
      </c>
      <c r="H182" t="s">
        <v>229</v>
      </c>
      <c r="I182" t="s">
        <v>158</v>
      </c>
      <c r="Q182" t="s">
        <v>229</v>
      </c>
      <c r="R182">
        <v>487.31477740000003</v>
      </c>
      <c r="S182">
        <v>6</v>
      </c>
      <c r="T182">
        <v>130</v>
      </c>
      <c r="V182">
        <v>0</v>
      </c>
      <c r="W182">
        <v>0</v>
      </c>
      <c r="X182" t="s">
        <v>229</v>
      </c>
      <c r="Y182">
        <v>-1</v>
      </c>
      <c r="Z182">
        <v>6</v>
      </c>
      <c r="AA182">
        <v>487.31</v>
      </c>
      <c r="AB182">
        <v>130</v>
      </c>
      <c r="AC182">
        <v>21.46</v>
      </c>
      <c r="AD182">
        <v>0.24</v>
      </c>
      <c r="AE182">
        <v>0.03</v>
      </c>
      <c r="AF182">
        <v>0.06</v>
      </c>
      <c r="AG182">
        <v>1</v>
      </c>
      <c r="AH182">
        <v>21.46</v>
      </c>
      <c r="AI182">
        <v>21.46</v>
      </c>
      <c r="AJ182">
        <v>21.46</v>
      </c>
      <c r="AK182">
        <v>0.24</v>
      </c>
      <c r="AL182">
        <v>0.24</v>
      </c>
      <c r="AM182">
        <v>0.24</v>
      </c>
      <c r="AN182">
        <v>0.03</v>
      </c>
      <c r="AO182">
        <v>0.03</v>
      </c>
      <c r="AP182">
        <v>0.03</v>
      </c>
      <c r="AQ182">
        <v>487.31477740000003</v>
      </c>
      <c r="AR182">
        <v>0</v>
      </c>
      <c r="AS182">
        <f>_xlfn.XLOOKUP(B182,InstallDate!$H$2:$H$389,InstallDate!$BE$2:$BE$389)</f>
        <v>0</v>
      </c>
      <c r="AT182">
        <f t="shared" si="16"/>
        <v>0</v>
      </c>
      <c r="AU182">
        <f t="shared" si="14"/>
        <v>0.1723279531036698</v>
      </c>
      <c r="AV182">
        <f t="shared" si="17"/>
        <v>0</v>
      </c>
      <c r="AW182">
        <f t="shared" si="18"/>
        <v>3</v>
      </c>
      <c r="AX182">
        <f t="shared" si="19"/>
        <v>2</v>
      </c>
      <c r="AY182">
        <f t="shared" si="20"/>
        <v>0</v>
      </c>
      <c r="AZ182">
        <f t="shared" si="15"/>
        <v>2</v>
      </c>
    </row>
    <row r="183" spans="1:52" x14ac:dyDescent="0.2">
      <c r="A183">
        <v>182</v>
      </c>
      <c r="B183" t="s">
        <v>230</v>
      </c>
      <c r="C183">
        <v>0</v>
      </c>
      <c r="H183" t="s">
        <v>230</v>
      </c>
      <c r="I183" t="s">
        <v>158</v>
      </c>
      <c r="Q183" t="s">
        <v>230</v>
      </c>
      <c r="R183">
        <v>240.26538619999999</v>
      </c>
      <c r="S183">
        <v>6</v>
      </c>
      <c r="T183">
        <v>130</v>
      </c>
      <c r="V183">
        <v>0</v>
      </c>
      <c r="W183">
        <v>0</v>
      </c>
      <c r="X183" t="s">
        <v>230</v>
      </c>
      <c r="Y183">
        <v>-1</v>
      </c>
      <c r="Z183">
        <v>6</v>
      </c>
      <c r="AA183">
        <v>240.27</v>
      </c>
      <c r="AB183">
        <v>130</v>
      </c>
      <c r="AC183">
        <v>21.46</v>
      </c>
      <c r="AD183">
        <v>0.24</v>
      </c>
      <c r="AE183">
        <v>0.01</v>
      </c>
      <c r="AF183">
        <v>0.06</v>
      </c>
      <c r="AG183">
        <v>1</v>
      </c>
      <c r="AH183">
        <v>21.46</v>
      </c>
      <c r="AI183">
        <v>21.46</v>
      </c>
      <c r="AJ183">
        <v>21.46</v>
      </c>
      <c r="AK183">
        <v>0.24</v>
      </c>
      <c r="AL183">
        <v>0.24</v>
      </c>
      <c r="AM183">
        <v>0.24</v>
      </c>
      <c r="AN183">
        <v>0.01</v>
      </c>
      <c r="AO183">
        <v>0.01</v>
      </c>
      <c r="AP183">
        <v>0.01</v>
      </c>
      <c r="AQ183">
        <v>240.26538619999999</v>
      </c>
      <c r="AR183">
        <v>0</v>
      </c>
      <c r="AS183">
        <f>_xlfn.XLOOKUP(B183,InstallDate!$H$2:$H$389,InstallDate!$BE$2:$BE$389)</f>
        <v>0</v>
      </c>
      <c r="AT183">
        <f t="shared" si="16"/>
        <v>0</v>
      </c>
      <c r="AU183">
        <f t="shared" si="14"/>
        <v>0.1723279531036698</v>
      </c>
      <c r="AV183">
        <f t="shared" si="17"/>
        <v>0</v>
      </c>
      <c r="AW183">
        <f t="shared" si="18"/>
        <v>3</v>
      </c>
      <c r="AX183">
        <f t="shared" si="19"/>
        <v>2</v>
      </c>
      <c r="AY183">
        <f t="shared" si="20"/>
        <v>0</v>
      </c>
      <c r="AZ183">
        <f t="shared" si="15"/>
        <v>2</v>
      </c>
    </row>
    <row r="184" spans="1:52" x14ac:dyDescent="0.2">
      <c r="A184">
        <v>183</v>
      </c>
      <c r="B184" t="s">
        <v>231</v>
      </c>
      <c r="C184">
        <v>0</v>
      </c>
      <c r="H184" t="s">
        <v>231</v>
      </c>
      <c r="I184" t="s">
        <v>158</v>
      </c>
      <c r="Q184" t="s">
        <v>231</v>
      </c>
      <c r="R184">
        <v>33.82124993</v>
      </c>
      <c r="S184">
        <v>6</v>
      </c>
      <c r="T184">
        <v>130</v>
      </c>
      <c r="V184">
        <v>0</v>
      </c>
      <c r="W184">
        <v>0</v>
      </c>
      <c r="X184" t="s">
        <v>231</v>
      </c>
      <c r="Y184">
        <v>-1</v>
      </c>
      <c r="Z184">
        <v>6</v>
      </c>
      <c r="AA184">
        <v>33.82</v>
      </c>
      <c r="AB184">
        <v>130</v>
      </c>
      <c r="AC184">
        <v>21.46</v>
      </c>
      <c r="AD184">
        <v>0.24</v>
      </c>
      <c r="AE184">
        <v>0</v>
      </c>
      <c r="AF184">
        <v>0.06</v>
      </c>
      <c r="AG184">
        <v>1</v>
      </c>
      <c r="AH184">
        <v>21.46</v>
      </c>
      <c r="AI184">
        <v>21.46</v>
      </c>
      <c r="AJ184">
        <v>21.46</v>
      </c>
      <c r="AK184">
        <v>0.24</v>
      </c>
      <c r="AL184">
        <v>0.24</v>
      </c>
      <c r="AM184">
        <v>0.24</v>
      </c>
      <c r="AN184">
        <v>0</v>
      </c>
      <c r="AO184">
        <v>0</v>
      </c>
      <c r="AP184">
        <v>0</v>
      </c>
      <c r="AQ184">
        <v>33.82124993</v>
      </c>
      <c r="AR184">
        <v>0</v>
      </c>
      <c r="AS184">
        <f>_xlfn.XLOOKUP(B184,InstallDate!$H$2:$H$389,InstallDate!$BE$2:$BE$389)</f>
        <v>0</v>
      </c>
      <c r="AT184">
        <f t="shared" si="16"/>
        <v>0</v>
      </c>
      <c r="AU184">
        <f t="shared" si="14"/>
        <v>0.1723279531036698</v>
      </c>
      <c r="AV184">
        <f t="shared" si="17"/>
        <v>0</v>
      </c>
      <c r="AW184">
        <f t="shared" si="18"/>
        <v>3</v>
      </c>
      <c r="AX184">
        <f t="shared" si="19"/>
        <v>2</v>
      </c>
      <c r="AY184">
        <f t="shared" si="20"/>
        <v>0</v>
      </c>
      <c r="AZ184">
        <f t="shared" si="15"/>
        <v>2</v>
      </c>
    </row>
    <row r="185" spans="1:52" x14ac:dyDescent="0.2">
      <c r="A185">
        <v>184</v>
      </c>
      <c r="B185" t="s">
        <v>232</v>
      </c>
      <c r="C185">
        <v>0</v>
      </c>
      <c r="H185" t="s">
        <v>232</v>
      </c>
      <c r="I185" t="s">
        <v>158</v>
      </c>
      <c r="Q185" t="s">
        <v>232</v>
      </c>
      <c r="R185">
        <v>631.04468129999998</v>
      </c>
      <c r="S185">
        <v>6</v>
      </c>
      <c r="T185">
        <v>130</v>
      </c>
      <c r="V185">
        <v>0</v>
      </c>
      <c r="W185">
        <v>0</v>
      </c>
      <c r="X185" t="s">
        <v>232</v>
      </c>
      <c r="Y185">
        <v>-1</v>
      </c>
      <c r="Z185">
        <v>6</v>
      </c>
      <c r="AA185">
        <v>631.04</v>
      </c>
      <c r="AB185">
        <v>130</v>
      </c>
      <c r="AC185">
        <v>13.02</v>
      </c>
      <c r="AD185">
        <v>0.15</v>
      </c>
      <c r="AE185">
        <v>0.02</v>
      </c>
      <c r="AF185">
        <v>0.02</v>
      </c>
      <c r="AG185">
        <v>1</v>
      </c>
      <c r="AH185">
        <v>13.02</v>
      </c>
      <c r="AI185">
        <v>13.02</v>
      </c>
      <c r="AJ185">
        <v>13.02</v>
      </c>
      <c r="AK185">
        <v>0.15</v>
      </c>
      <c r="AL185">
        <v>0.15</v>
      </c>
      <c r="AM185">
        <v>0.15</v>
      </c>
      <c r="AN185">
        <v>0.02</v>
      </c>
      <c r="AO185">
        <v>0.02</v>
      </c>
      <c r="AP185">
        <v>0.02</v>
      </c>
      <c r="AQ185">
        <v>631.04468129999998</v>
      </c>
      <c r="AR185">
        <v>1</v>
      </c>
      <c r="AS185">
        <f>_xlfn.XLOOKUP(B185,InstallDate!$H$2:$H$389,InstallDate!$BE$2:$BE$389)</f>
        <v>0</v>
      </c>
      <c r="AT185">
        <f t="shared" si="16"/>
        <v>1</v>
      </c>
      <c r="AU185">
        <f t="shared" si="14"/>
        <v>0.1045531197301855</v>
      </c>
      <c r="AV185">
        <f t="shared" si="17"/>
        <v>0</v>
      </c>
      <c r="AW185">
        <f t="shared" si="18"/>
        <v>0</v>
      </c>
      <c r="AX185">
        <f t="shared" si="19"/>
        <v>2</v>
      </c>
      <c r="AY185">
        <f t="shared" si="20"/>
        <v>0</v>
      </c>
      <c r="AZ185">
        <f t="shared" si="15"/>
        <v>2</v>
      </c>
    </row>
    <row r="186" spans="1:52" x14ac:dyDescent="0.2">
      <c r="A186">
        <v>185</v>
      </c>
      <c r="B186" t="s">
        <v>233</v>
      </c>
      <c r="C186">
        <v>0</v>
      </c>
      <c r="H186" t="s">
        <v>233</v>
      </c>
      <c r="I186" t="s">
        <v>158</v>
      </c>
      <c r="Q186" t="s">
        <v>233</v>
      </c>
      <c r="R186">
        <v>206.97605100000001</v>
      </c>
      <c r="S186">
        <v>6</v>
      </c>
      <c r="T186">
        <v>130</v>
      </c>
      <c r="V186">
        <v>0</v>
      </c>
      <c r="W186">
        <v>0</v>
      </c>
      <c r="X186" t="s">
        <v>233</v>
      </c>
      <c r="Y186">
        <v>-1</v>
      </c>
      <c r="Z186">
        <v>6</v>
      </c>
      <c r="AA186">
        <v>206.98</v>
      </c>
      <c r="AB186">
        <v>130</v>
      </c>
      <c r="AC186">
        <v>34.32</v>
      </c>
      <c r="AD186">
        <v>0.39</v>
      </c>
      <c r="AE186">
        <v>0.03</v>
      </c>
      <c r="AF186">
        <v>0.14000000000000001</v>
      </c>
      <c r="AG186">
        <v>1</v>
      </c>
      <c r="AH186">
        <v>34.32</v>
      </c>
      <c r="AI186">
        <v>34.32</v>
      </c>
      <c r="AJ186">
        <v>34.32</v>
      </c>
      <c r="AK186">
        <v>0.39</v>
      </c>
      <c r="AL186">
        <v>0.39</v>
      </c>
      <c r="AM186">
        <v>0.39</v>
      </c>
      <c r="AN186">
        <v>0.03</v>
      </c>
      <c r="AO186">
        <v>0.03</v>
      </c>
      <c r="AP186">
        <v>0.03</v>
      </c>
      <c r="AQ186">
        <v>206.97605100000001</v>
      </c>
      <c r="AR186">
        <v>0</v>
      </c>
      <c r="AS186">
        <f>_xlfn.XLOOKUP(B186,InstallDate!$H$2:$H$389,InstallDate!$BE$2:$BE$389)</f>
        <v>0</v>
      </c>
      <c r="AT186">
        <f t="shared" si="16"/>
        <v>0</v>
      </c>
      <c r="AU186">
        <f t="shared" si="14"/>
        <v>0.27559624186942905</v>
      </c>
      <c r="AV186">
        <f t="shared" si="17"/>
        <v>0</v>
      </c>
      <c r="AW186">
        <f t="shared" si="18"/>
        <v>3</v>
      </c>
      <c r="AX186">
        <f t="shared" si="19"/>
        <v>2</v>
      </c>
      <c r="AY186">
        <f t="shared" si="20"/>
        <v>0</v>
      </c>
      <c r="AZ186">
        <f t="shared" si="15"/>
        <v>2</v>
      </c>
    </row>
    <row r="187" spans="1:52" x14ac:dyDescent="0.2">
      <c r="A187">
        <v>186</v>
      </c>
      <c r="B187" t="s">
        <v>234</v>
      </c>
      <c r="C187">
        <v>0</v>
      </c>
      <c r="H187" t="s">
        <v>234</v>
      </c>
      <c r="I187" t="s">
        <v>158</v>
      </c>
      <c r="Q187" t="s">
        <v>234</v>
      </c>
      <c r="R187">
        <v>30.946920769999998</v>
      </c>
      <c r="S187">
        <v>6</v>
      </c>
      <c r="T187">
        <v>130</v>
      </c>
      <c r="V187">
        <v>0</v>
      </c>
      <c r="W187">
        <v>0</v>
      </c>
      <c r="X187" t="s">
        <v>234</v>
      </c>
      <c r="Y187">
        <v>-1</v>
      </c>
      <c r="Z187">
        <v>6</v>
      </c>
      <c r="AA187">
        <v>30.95</v>
      </c>
      <c r="AB187">
        <v>130</v>
      </c>
      <c r="AC187">
        <v>34.32</v>
      </c>
      <c r="AD187">
        <v>0.39</v>
      </c>
      <c r="AE187">
        <v>0</v>
      </c>
      <c r="AF187">
        <v>0.14000000000000001</v>
      </c>
      <c r="AG187">
        <v>1</v>
      </c>
      <c r="AH187">
        <v>34.32</v>
      </c>
      <c r="AI187">
        <v>34.32</v>
      </c>
      <c r="AJ187">
        <v>34.32</v>
      </c>
      <c r="AK187">
        <v>0.39</v>
      </c>
      <c r="AL187">
        <v>0.39</v>
      </c>
      <c r="AM187">
        <v>0.39</v>
      </c>
      <c r="AN187">
        <v>0</v>
      </c>
      <c r="AO187">
        <v>0</v>
      </c>
      <c r="AP187">
        <v>0</v>
      </c>
      <c r="AQ187">
        <v>30.946920769999998</v>
      </c>
      <c r="AR187">
        <v>0</v>
      </c>
      <c r="AS187">
        <f>_xlfn.XLOOKUP(B187,InstallDate!$H$2:$H$389,InstallDate!$BE$2:$BE$389)</f>
        <v>0</v>
      </c>
      <c r="AT187">
        <f t="shared" si="16"/>
        <v>0</v>
      </c>
      <c r="AU187">
        <f t="shared" si="14"/>
        <v>0.27559624186942905</v>
      </c>
      <c r="AV187">
        <f t="shared" si="17"/>
        <v>0</v>
      </c>
      <c r="AW187">
        <f t="shared" si="18"/>
        <v>3</v>
      </c>
      <c r="AX187">
        <f t="shared" si="19"/>
        <v>2</v>
      </c>
      <c r="AY187">
        <f t="shared" si="20"/>
        <v>0</v>
      </c>
      <c r="AZ187">
        <f t="shared" si="15"/>
        <v>2</v>
      </c>
    </row>
    <row r="188" spans="1:52" x14ac:dyDescent="0.2">
      <c r="A188">
        <v>187</v>
      </c>
      <c r="B188" t="s">
        <v>235</v>
      </c>
      <c r="C188">
        <v>0</v>
      </c>
      <c r="H188" t="s">
        <v>235</v>
      </c>
      <c r="I188" t="s">
        <v>141</v>
      </c>
      <c r="Q188" t="s">
        <v>235</v>
      </c>
      <c r="R188">
        <v>185.69477169999999</v>
      </c>
      <c r="S188">
        <v>1.5</v>
      </c>
      <c r="T188">
        <v>130</v>
      </c>
      <c r="V188">
        <v>0</v>
      </c>
      <c r="W188">
        <v>0</v>
      </c>
      <c r="X188" t="s">
        <v>235</v>
      </c>
      <c r="Y188">
        <v>1</v>
      </c>
      <c r="Z188">
        <v>1.5</v>
      </c>
      <c r="AA188">
        <v>185.69</v>
      </c>
      <c r="AB188">
        <v>130</v>
      </c>
      <c r="AC188">
        <v>0.14000000000000001</v>
      </c>
      <c r="AD188">
        <v>0.03</v>
      </c>
      <c r="AE188">
        <v>0</v>
      </c>
      <c r="AF188">
        <v>0</v>
      </c>
      <c r="AG188">
        <v>1</v>
      </c>
      <c r="AH188">
        <v>0.14000000000000001</v>
      </c>
      <c r="AI188">
        <v>0.14000000000000001</v>
      </c>
      <c r="AJ188">
        <v>0.14000000000000001</v>
      </c>
      <c r="AK188">
        <v>0.03</v>
      </c>
      <c r="AL188">
        <v>0.03</v>
      </c>
      <c r="AM188">
        <v>0.03</v>
      </c>
      <c r="AN188">
        <v>0</v>
      </c>
      <c r="AO188">
        <v>0</v>
      </c>
      <c r="AP188">
        <v>0</v>
      </c>
      <c r="AQ188">
        <v>185.69477169999999</v>
      </c>
      <c r="AR188">
        <v>0</v>
      </c>
      <c r="AS188">
        <f>_xlfn.XLOOKUP(B188,InstallDate!$H$2:$H$389,InstallDate!$BE$2:$BE$389)</f>
        <v>0</v>
      </c>
      <c r="AT188">
        <f t="shared" si="16"/>
        <v>0</v>
      </c>
      <c r="AU188">
        <f t="shared" si="14"/>
        <v>1.1242270938729624E-3</v>
      </c>
      <c r="AV188">
        <f t="shared" si="17"/>
        <v>0</v>
      </c>
      <c r="AW188">
        <f t="shared" si="18"/>
        <v>0</v>
      </c>
      <c r="AX188">
        <f t="shared" si="19"/>
        <v>0</v>
      </c>
      <c r="AY188">
        <f t="shared" si="20"/>
        <v>1</v>
      </c>
      <c r="AZ188">
        <f t="shared" si="15"/>
        <v>1</v>
      </c>
    </row>
    <row r="189" spans="1:52" x14ac:dyDescent="0.2">
      <c r="A189">
        <v>188</v>
      </c>
      <c r="B189" t="s">
        <v>236</v>
      </c>
      <c r="C189">
        <v>0</v>
      </c>
      <c r="H189" t="s">
        <v>236</v>
      </c>
      <c r="I189" t="s">
        <v>158</v>
      </c>
      <c r="Q189" t="s">
        <v>236</v>
      </c>
      <c r="R189">
        <v>32.363050569999999</v>
      </c>
      <c r="S189">
        <v>6</v>
      </c>
      <c r="T189">
        <v>130</v>
      </c>
      <c r="V189">
        <v>0</v>
      </c>
      <c r="W189">
        <v>0</v>
      </c>
      <c r="X189" t="s">
        <v>236</v>
      </c>
      <c r="Y189">
        <v>1</v>
      </c>
      <c r="Z189">
        <v>6</v>
      </c>
      <c r="AA189">
        <v>32.36</v>
      </c>
      <c r="AB189">
        <v>130</v>
      </c>
      <c r="AC189">
        <v>20.05</v>
      </c>
      <c r="AD189">
        <v>0.23</v>
      </c>
      <c r="AE189">
        <v>0</v>
      </c>
      <c r="AF189">
        <v>0.05</v>
      </c>
      <c r="AG189">
        <v>1</v>
      </c>
      <c r="AH189">
        <v>20.05</v>
      </c>
      <c r="AI189">
        <v>20.05</v>
      </c>
      <c r="AJ189">
        <v>20.05</v>
      </c>
      <c r="AK189">
        <v>0.23</v>
      </c>
      <c r="AL189">
        <v>0.23</v>
      </c>
      <c r="AM189">
        <v>0.23</v>
      </c>
      <c r="AN189">
        <v>0</v>
      </c>
      <c r="AO189">
        <v>0</v>
      </c>
      <c r="AP189">
        <v>0</v>
      </c>
      <c r="AQ189">
        <v>32.363050569999999</v>
      </c>
      <c r="AR189">
        <v>0</v>
      </c>
      <c r="AS189">
        <f>_xlfn.XLOOKUP(B189,InstallDate!$H$2:$H$389,InstallDate!$BE$2:$BE$389)</f>
        <v>0</v>
      </c>
      <c r="AT189">
        <f t="shared" si="16"/>
        <v>0</v>
      </c>
      <c r="AU189">
        <f t="shared" si="14"/>
        <v>0.16100538022966354</v>
      </c>
      <c r="AV189">
        <f t="shared" si="17"/>
        <v>0</v>
      </c>
      <c r="AW189">
        <f t="shared" si="18"/>
        <v>0</v>
      </c>
      <c r="AX189">
        <f t="shared" si="19"/>
        <v>2</v>
      </c>
      <c r="AY189">
        <f t="shared" si="20"/>
        <v>0</v>
      </c>
      <c r="AZ189">
        <f t="shared" si="15"/>
        <v>2</v>
      </c>
    </row>
    <row r="190" spans="1:52" x14ac:dyDescent="0.2">
      <c r="A190">
        <v>189</v>
      </c>
      <c r="B190" t="s">
        <v>237</v>
      </c>
      <c r="C190">
        <v>0</v>
      </c>
      <c r="H190" t="s">
        <v>237</v>
      </c>
      <c r="I190" t="s">
        <v>158</v>
      </c>
      <c r="Q190" t="s">
        <v>237</v>
      </c>
      <c r="R190">
        <v>553.53727690000005</v>
      </c>
      <c r="S190">
        <v>6</v>
      </c>
      <c r="T190">
        <v>130</v>
      </c>
      <c r="V190">
        <v>0</v>
      </c>
      <c r="W190">
        <v>0</v>
      </c>
      <c r="X190" t="s">
        <v>237</v>
      </c>
      <c r="Y190">
        <v>1</v>
      </c>
      <c r="Z190">
        <v>6</v>
      </c>
      <c r="AA190">
        <v>553.54</v>
      </c>
      <c r="AB190">
        <v>130</v>
      </c>
      <c r="AC190">
        <v>20.05</v>
      </c>
      <c r="AD190">
        <v>0.23</v>
      </c>
      <c r="AE190">
        <v>0.03</v>
      </c>
      <c r="AF190">
        <v>0.05</v>
      </c>
      <c r="AG190">
        <v>1</v>
      </c>
      <c r="AH190">
        <v>20.05</v>
      </c>
      <c r="AI190">
        <v>20.05</v>
      </c>
      <c r="AJ190">
        <v>20.05</v>
      </c>
      <c r="AK190">
        <v>0.23</v>
      </c>
      <c r="AL190">
        <v>0.23</v>
      </c>
      <c r="AM190">
        <v>0.23</v>
      </c>
      <c r="AN190">
        <v>0.03</v>
      </c>
      <c r="AO190">
        <v>0.03</v>
      </c>
      <c r="AP190">
        <v>0.03</v>
      </c>
      <c r="AQ190">
        <v>553.53727690000005</v>
      </c>
      <c r="AR190">
        <v>0</v>
      </c>
      <c r="AS190">
        <f>_xlfn.XLOOKUP(B190,InstallDate!$H$2:$H$389,InstallDate!$BE$2:$BE$389)</f>
        <v>0</v>
      </c>
      <c r="AT190">
        <f t="shared" si="16"/>
        <v>0</v>
      </c>
      <c r="AU190">
        <f t="shared" si="14"/>
        <v>0.16100538022966354</v>
      </c>
      <c r="AV190">
        <f t="shared" si="17"/>
        <v>0</v>
      </c>
      <c r="AW190">
        <f t="shared" si="18"/>
        <v>0</v>
      </c>
      <c r="AX190">
        <f t="shared" si="19"/>
        <v>2</v>
      </c>
      <c r="AY190">
        <f t="shared" si="20"/>
        <v>0</v>
      </c>
      <c r="AZ190">
        <f t="shared" si="15"/>
        <v>2</v>
      </c>
    </row>
    <row r="191" spans="1:52" x14ac:dyDescent="0.2">
      <c r="A191">
        <v>190</v>
      </c>
      <c r="B191" t="s">
        <v>238</v>
      </c>
      <c r="C191">
        <v>0</v>
      </c>
      <c r="H191" t="s">
        <v>238</v>
      </c>
      <c r="I191" t="s">
        <v>158</v>
      </c>
      <c r="Q191" t="s">
        <v>238</v>
      </c>
      <c r="R191">
        <v>69.78464434</v>
      </c>
      <c r="S191">
        <v>6</v>
      </c>
      <c r="T191">
        <v>130</v>
      </c>
      <c r="V191">
        <v>0</v>
      </c>
      <c r="W191">
        <v>0</v>
      </c>
      <c r="X191" t="s">
        <v>238</v>
      </c>
      <c r="Y191">
        <v>1</v>
      </c>
      <c r="Z191">
        <v>6</v>
      </c>
      <c r="AA191">
        <v>69.78</v>
      </c>
      <c r="AB191">
        <v>130</v>
      </c>
      <c r="AC191">
        <v>19.91</v>
      </c>
      <c r="AD191">
        <v>0.23</v>
      </c>
      <c r="AE191">
        <v>0</v>
      </c>
      <c r="AF191">
        <v>0.05</v>
      </c>
      <c r="AG191">
        <v>1</v>
      </c>
      <c r="AH191">
        <v>19.91</v>
      </c>
      <c r="AI191">
        <v>19.91</v>
      </c>
      <c r="AJ191">
        <v>19.91</v>
      </c>
      <c r="AK191">
        <v>0.23</v>
      </c>
      <c r="AL191">
        <v>0.23</v>
      </c>
      <c r="AM191">
        <v>0.23</v>
      </c>
      <c r="AN191">
        <v>0</v>
      </c>
      <c r="AO191">
        <v>0</v>
      </c>
      <c r="AP191">
        <v>0</v>
      </c>
      <c r="AQ191">
        <v>69.78464434</v>
      </c>
      <c r="AR191">
        <v>0</v>
      </c>
      <c r="AS191">
        <f>_xlfn.XLOOKUP(B191,InstallDate!$H$2:$H$389,InstallDate!$BE$2:$BE$389)</f>
        <v>0</v>
      </c>
      <c r="AT191">
        <f t="shared" si="16"/>
        <v>0</v>
      </c>
      <c r="AU191">
        <f t="shared" si="14"/>
        <v>0.15988115313579057</v>
      </c>
      <c r="AV191">
        <f t="shared" si="17"/>
        <v>0</v>
      </c>
      <c r="AW191">
        <f t="shared" si="18"/>
        <v>0</v>
      </c>
      <c r="AX191">
        <f t="shared" si="19"/>
        <v>2</v>
      </c>
      <c r="AY191">
        <f t="shared" si="20"/>
        <v>0</v>
      </c>
      <c r="AZ191">
        <f t="shared" si="15"/>
        <v>2</v>
      </c>
    </row>
    <row r="192" spans="1:52" x14ac:dyDescent="0.2">
      <c r="A192">
        <v>191</v>
      </c>
      <c r="B192" t="s">
        <v>239</v>
      </c>
      <c r="C192">
        <v>0</v>
      </c>
      <c r="H192" t="s">
        <v>239</v>
      </c>
      <c r="I192" t="s">
        <v>158</v>
      </c>
      <c r="Q192" t="s">
        <v>239</v>
      </c>
      <c r="R192">
        <v>32.055585280000003</v>
      </c>
      <c r="S192">
        <v>6</v>
      </c>
      <c r="T192">
        <v>130</v>
      </c>
      <c r="V192">
        <v>0</v>
      </c>
      <c r="W192">
        <v>0</v>
      </c>
      <c r="X192" t="s">
        <v>239</v>
      </c>
      <c r="Y192">
        <v>1</v>
      </c>
      <c r="Z192">
        <v>6</v>
      </c>
      <c r="AA192">
        <v>32.06</v>
      </c>
      <c r="AB192">
        <v>130</v>
      </c>
      <c r="AC192">
        <v>17.41</v>
      </c>
      <c r="AD192">
        <v>0.2</v>
      </c>
      <c r="AE192">
        <v>0</v>
      </c>
      <c r="AF192">
        <v>0.04</v>
      </c>
      <c r="AG192">
        <v>1</v>
      </c>
      <c r="AH192">
        <v>17.41</v>
      </c>
      <c r="AI192">
        <v>17.41</v>
      </c>
      <c r="AJ192">
        <v>17.41</v>
      </c>
      <c r="AK192">
        <v>0.2</v>
      </c>
      <c r="AL192">
        <v>0.2</v>
      </c>
      <c r="AM192">
        <v>0.2</v>
      </c>
      <c r="AN192">
        <v>0</v>
      </c>
      <c r="AO192">
        <v>0</v>
      </c>
      <c r="AP192">
        <v>0</v>
      </c>
      <c r="AQ192">
        <v>32.055585280000003</v>
      </c>
      <c r="AR192">
        <v>0</v>
      </c>
      <c r="AS192">
        <f>_xlfn.XLOOKUP(B192,InstallDate!$H$2:$H$389,InstallDate!$BE$2:$BE$389)</f>
        <v>0</v>
      </c>
      <c r="AT192">
        <f t="shared" si="16"/>
        <v>0</v>
      </c>
      <c r="AU192">
        <f t="shared" si="14"/>
        <v>0.13980566931663052</v>
      </c>
      <c r="AV192">
        <f t="shared" si="17"/>
        <v>0</v>
      </c>
      <c r="AW192">
        <f t="shared" si="18"/>
        <v>0</v>
      </c>
      <c r="AX192">
        <f t="shared" si="19"/>
        <v>2</v>
      </c>
      <c r="AY192">
        <f t="shared" si="20"/>
        <v>0</v>
      </c>
      <c r="AZ192">
        <f t="shared" si="15"/>
        <v>2</v>
      </c>
    </row>
    <row r="193" spans="1:52" x14ac:dyDescent="0.2">
      <c r="A193">
        <v>192</v>
      </c>
      <c r="B193" t="s">
        <v>240</v>
      </c>
      <c r="C193">
        <v>0</v>
      </c>
      <c r="H193" t="s">
        <v>240</v>
      </c>
      <c r="I193" t="s">
        <v>158</v>
      </c>
      <c r="Q193" t="s">
        <v>240</v>
      </c>
      <c r="R193">
        <v>669.50700489999997</v>
      </c>
      <c r="S193">
        <v>6</v>
      </c>
      <c r="T193">
        <v>130</v>
      </c>
      <c r="V193">
        <v>0</v>
      </c>
      <c r="W193">
        <v>0</v>
      </c>
      <c r="X193" t="s">
        <v>240</v>
      </c>
      <c r="Y193">
        <v>1</v>
      </c>
      <c r="Z193">
        <v>6</v>
      </c>
      <c r="AA193">
        <v>669.51</v>
      </c>
      <c r="AB193">
        <v>130</v>
      </c>
      <c r="AC193">
        <v>17.41</v>
      </c>
      <c r="AD193">
        <v>0.2</v>
      </c>
      <c r="AE193">
        <v>0.03</v>
      </c>
      <c r="AF193">
        <v>0.04</v>
      </c>
      <c r="AG193">
        <v>1</v>
      </c>
      <c r="AH193">
        <v>17.41</v>
      </c>
      <c r="AI193">
        <v>17.41</v>
      </c>
      <c r="AJ193">
        <v>17.41</v>
      </c>
      <c r="AK193">
        <v>0.2</v>
      </c>
      <c r="AL193">
        <v>0.2</v>
      </c>
      <c r="AM193">
        <v>0.2</v>
      </c>
      <c r="AN193">
        <v>0.03</v>
      </c>
      <c r="AO193">
        <v>0.03</v>
      </c>
      <c r="AP193">
        <v>0.03</v>
      </c>
      <c r="AQ193">
        <v>669.50700489999997</v>
      </c>
      <c r="AR193">
        <v>0</v>
      </c>
      <c r="AS193">
        <f>_xlfn.XLOOKUP(B193,InstallDate!$H$2:$H$389,InstallDate!$BE$2:$BE$389)</f>
        <v>0</v>
      </c>
      <c r="AT193">
        <f t="shared" si="16"/>
        <v>0</v>
      </c>
      <c r="AU193">
        <f t="shared" si="14"/>
        <v>0.13980566931663052</v>
      </c>
      <c r="AV193">
        <f t="shared" si="17"/>
        <v>0</v>
      </c>
      <c r="AW193">
        <f t="shared" si="18"/>
        <v>0</v>
      </c>
      <c r="AX193">
        <f t="shared" si="19"/>
        <v>2</v>
      </c>
      <c r="AY193">
        <f t="shared" si="20"/>
        <v>0</v>
      </c>
      <c r="AZ193">
        <f t="shared" si="15"/>
        <v>2</v>
      </c>
    </row>
    <row r="194" spans="1:52" x14ac:dyDescent="0.2">
      <c r="A194">
        <v>193</v>
      </c>
      <c r="B194" t="s">
        <v>241</v>
      </c>
      <c r="C194">
        <v>0</v>
      </c>
      <c r="H194" t="s">
        <v>241</v>
      </c>
      <c r="I194" t="s">
        <v>158</v>
      </c>
      <c r="Q194" t="s">
        <v>241</v>
      </c>
      <c r="R194">
        <v>81.938800029999996</v>
      </c>
      <c r="S194">
        <v>10</v>
      </c>
      <c r="T194">
        <v>130</v>
      </c>
      <c r="V194">
        <v>0</v>
      </c>
      <c r="W194">
        <v>0</v>
      </c>
      <c r="X194" t="s">
        <v>241</v>
      </c>
      <c r="Y194">
        <v>-1</v>
      </c>
      <c r="Z194">
        <v>10</v>
      </c>
      <c r="AA194">
        <v>81.94</v>
      </c>
      <c r="AB194">
        <v>130</v>
      </c>
      <c r="AC194">
        <v>117.97</v>
      </c>
      <c r="AD194">
        <v>0.48</v>
      </c>
      <c r="AE194">
        <v>0.01</v>
      </c>
      <c r="AF194">
        <v>0.12</v>
      </c>
      <c r="AG194">
        <v>1</v>
      </c>
      <c r="AH194">
        <v>117.97</v>
      </c>
      <c r="AI194">
        <v>117.97</v>
      </c>
      <c r="AJ194">
        <v>117.97</v>
      </c>
      <c r="AK194">
        <v>0.48</v>
      </c>
      <c r="AL194">
        <v>0.48</v>
      </c>
      <c r="AM194">
        <v>0.48</v>
      </c>
      <c r="AN194">
        <v>0.01</v>
      </c>
      <c r="AO194">
        <v>0.01</v>
      </c>
      <c r="AP194">
        <v>0.01</v>
      </c>
      <c r="AQ194">
        <v>81.938800029999996</v>
      </c>
      <c r="AR194">
        <v>1</v>
      </c>
      <c r="AS194">
        <f>_xlfn.XLOOKUP(B194,InstallDate!$H$2:$H$389,InstallDate!$BE$2:$BE$389)</f>
        <v>1</v>
      </c>
      <c r="AT194">
        <f t="shared" si="16"/>
        <v>1</v>
      </c>
      <c r="AU194">
        <f t="shared" ref="AU194:AU257" si="21">AC194/MAX($AC$2:$AC$389)</f>
        <v>0.94732193045852409</v>
      </c>
      <c r="AV194">
        <f t="shared" si="17"/>
        <v>4</v>
      </c>
      <c r="AW194">
        <f t="shared" si="18"/>
        <v>3</v>
      </c>
      <c r="AX194">
        <f t="shared" si="19"/>
        <v>2</v>
      </c>
      <c r="AY194">
        <f t="shared" si="20"/>
        <v>0</v>
      </c>
      <c r="AZ194">
        <f t="shared" ref="AZ194:AZ257" si="22">IF(AND(MAX(AV194:AY194)&gt;2,AS194=1),3,IF(AND(MAX(AV194:AY194)&lt;=2,AS194=1),2,IF(AND(MAX(AV194:AY194)&gt;1,AS194=0),2,1)))</f>
        <v>3</v>
      </c>
    </row>
    <row r="195" spans="1:52" x14ac:dyDescent="0.2">
      <c r="A195">
        <v>194</v>
      </c>
      <c r="B195" t="s">
        <v>242</v>
      </c>
      <c r="C195">
        <v>0</v>
      </c>
      <c r="H195" t="s">
        <v>242</v>
      </c>
      <c r="I195" t="s">
        <v>158</v>
      </c>
      <c r="Q195" t="s">
        <v>242</v>
      </c>
      <c r="R195">
        <v>96.202028220000003</v>
      </c>
      <c r="S195">
        <v>10</v>
      </c>
      <c r="T195">
        <v>130</v>
      </c>
      <c r="V195">
        <v>0</v>
      </c>
      <c r="W195">
        <v>0</v>
      </c>
      <c r="X195" t="s">
        <v>242</v>
      </c>
      <c r="Y195">
        <v>-1</v>
      </c>
      <c r="Z195">
        <v>10</v>
      </c>
      <c r="AA195">
        <v>96.2</v>
      </c>
      <c r="AB195">
        <v>130</v>
      </c>
      <c r="AC195">
        <v>117.97</v>
      </c>
      <c r="AD195">
        <v>0.48</v>
      </c>
      <c r="AE195">
        <v>0.01</v>
      </c>
      <c r="AF195">
        <v>0.12</v>
      </c>
      <c r="AG195">
        <v>1</v>
      </c>
      <c r="AH195">
        <v>117.97</v>
      </c>
      <c r="AI195">
        <v>117.97</v>
      </c>
      <c r="AJ195">
        <v>117.97</v>
      </c>
      <c r="AK195">
        <v>0.48</v>
      </c>
      <c r="AL195">
        <v>0.48</v>
      </c>
      <c r="AM195">
        <v>0.48</v>
      </c>
      <c r="AN195">
        <v>0.01</v>
      </c>
      <c r="AO195">
        <v>0.01</v>
      </c>
      <c r="AP195">
        <v>0.01</v>
      </c>
      <c r="AQ195">
        <v>96.202028220000003</v>
      </c>
      <c r="AR195">
        <v>1</v>
      </c>
      <c r="AS195">
        <f>_xlfn.XLOOKUP(B195,InstallDate!$H$2:$H$389,InstallDate!$BE$2:$BE$389)</f>
        <v>1</v>
      </c>
      <c r="AT195">
        <f t="shared" ref="AT195:AT258" si="23">IF(COUNTIF(AR195:AS195,1)=0,0,SUM(AR195:AS195)/COUNTIF(AR195:AS195,1))</f>
        <v>1</v>
      </c>
      <c r="AU195">
        <f t="shared" si="21"/>
        <v>0.94732193045852409</v>
      </c>
      <c r="AV195">
        <f t="shared" ref="AV195:AV258" si="24">IF($AU195&gt;=_xlfn.PERCENTILE.INC($AU$2:$AU$369,AV$1),4,0)</f>
        <v>4</v>
      </c>
      <c r="AW195">
        <f t="shared" ref="AW195:AW258" si="25">IF($AU195&gt;=_xlfn.PERCENTILE.INC($AU$2:$AU$369,AW$1),3,0)</f>
        <v>3</v>
      </c>
      <c r="AX195">
        <f t="shared" ref="AX195:AX258" si="26">IF($AU195&gt;=_xlfn.PERCENTILE.INC($AU$2:$AU$369,AX$1),2,0)</f>
        <v>2</v>
      </c>
      <c r="AY195">
        <f t="shared" ref="AY195:AY258" si="27">IF(SUM(AV195:AX195)&lt;1,1,0)</f>
        <v>0</v>
      </c>
      <c r="AZ195">
        <f t="shared" si="22"/>
        <v>3</v>
      </c>
    </row>
    <row r="196" spans="1:52" x14ac:dyDescent="0.2">
      <c r="A196">
        <v>195</v>
      </c>
      <c r="B196" t="s">
        <v>243</v>
      </c>
      <c r="C196">
        <v>0</v>
      </c>
      <c r="H196" t="s">
        <v>243</v>
      </c>
      <c r="I196" t="s">
        <v>158</v>
      </c>
      <c r="Q196" t="s">
        <v>243</v>
      </c>
      <c r="R196">
        <v>301.48719069999999</v>
      </c>
      <c r="S196">
        <v>10</v>
      </c>
      <c r="T196">
        <v>130</v>
      </c>
      <c r="V196">
        <v>0</v>
      </c>
      <c r="W196">
        <v>0</v>
      </c>
      <c r="X196" t="s">
        <v>243</v>
      </c>
      <c r="Y196">
        <v>-1</v>
      </c>
      <c r="Z196">
        <v>10</v>
      </c>
      <c r="AA196">
        <v>301.49</v>
      </c>
      <c r="AB196">
        <v>130</v>
      </c>
      <c r="AC196">
        <v>118.39</v>
      </c>
      <c r="AD196">
        <v>0.48</v>
      </c>
      <c r="AE196">
        <v>0.04</v>
      </c>
      <c r="AF196">
        <v>0.12</v>
      </c>
      <c r="AG196">
        <v>1</v>
      </c>
      <c r="AH196">
        <v>118.39</v>
      </c>
      <c r="AI196">
        <v>118.39</v>
      </c>
      <c r="AJ196">
        <v>118.39</v>
      </c>
      <c r="AK196">
        <v>0.48</v>
      </c>
      <c r="AL196">
        <v>0.48</v>
      </c>
      <c r="AM196">
        <v>0.48</v>
      </c>
      <c r="AN196">
        <v>0.04</v>
      </c>
      <c r="AO196">
        <v>0.04</v>
      </c>
      <c r="AP196">
        <v>0.04</v>
      </c>
      <c r="AQ196">
        <v>301.48719069999999</v>
      </c>
      <c r="AR196">
        <v>1</v>
      </c>
      <c r="AS196">
        <f>_xlfn.XLOOKUP(B196,InstallDate!$H$2:$H$389,InstallDate!$BE$2:$BE$389)</f>
        <v>0</v>
      </c>
      <c r="AT196">
        <f t="shared" si="23"/>
        <v>1</v>
      </c>
      <c r="AU196">
        <f t="shared" si="21"/>
        <v>0.95069461174014291</v>
      </c>
      <c r="AV196">
        <f t="shared" si="24"/>
        <v>4</v>
      </c>
      <c r="AW196">
        <f t="shared" si="25"/>
        <v>3</v>
      </c>
      <c r="AX196">
        <f t="shared" si="26"/>
        <v>2</v>
      </c>
      <c r="AY196">
        <f t="shared" si="27"/>
        <v>0</v>
      </c>
      <c r="AZ196">
        <f t="shared" si="22"/>
        <v>2</v>
      </c>
    </row>
    <row r="197" spans="1:52" x14ac:dyDescent="0.2">
      <c r="A197">
        <v>196</v>
      </c>
      <c r="B197" t="s">
        <v>244</v>
      </c>
      <c r="C197">
        <v>0</v>
      </c>
      <c r="H197" t="s">
        <v>244</v>
      </c>
      <c r="I197" t="s">
        <v>158</v>
      </c>
      <c r="Q197" t="s">
        <v>244</v>
      </c>
      <c r="R197">
        <v>792.2364642</v>
      </c>
      <c r="S197">
        <v>10</v>
      </c>
      <c r="T197">
        <v>130</v>
      </c>
      <c r="V197">
        <v>0</v>
      </c>
      <c r="W197">
        <v>0</v>
      </c>
      <c r="X197" t="s">
        <v>244</v>
      </c>
      <c r="Y197">
        <v>-1</v>
      </c>
      <c r="Z197">
        <v>10</v>
      </c>
      <c r="AA197">
        <v>792.24</v>
      </c>
      <c r="AB197">
        <v>130</v>
      </c>
      <c r="AC197">
        <v>118.39</v>
      </c>
      <c r="AD197">
        <v>0.48</v>
      </c>
      <c r="AE197">
        <v>0.09</v>
      </c>
      <c r="AF197">
        <v>0.12</v>
      </c>
      <c r="AG197">
        <v>1</v>
      </c>
      <c r="AH197">
        <v>118.39</v>
      </c>
      <c r="AI197">
        <v>118.39</v>
      </c>
      <c r="AJ197">
        <v>118.39</v>
      </c>
      <c r="AK197">
        <v>0.48</v>
      </c>
      <c r="AL197">
        <v>0.48</v>
      </c>
      <c r="AM197">
        <v>0.48</v>
      </c>
      <c r="AN197">
        <v>0.09</v>
      </c>
      <c r="AO197">
        <v>0.09</v>
      </c>
      <c r="AP197">
        <v>0.09</v>
      </c>
      <c r="AQ197">
        <v>792.2364642</v>
      </c>
      <c r="AR197">
        <v>1</v>
      </c>
      <c r="AS197">
        <f>_xlfn.XLOOKUP(B197,InstallDate!$H$2:$H$389,InstallDate!$BE$2:$BE$389)</f>
        <v>1</v>
      </c>
      <c r="AT197">
        <f t="shared" si="23"/>
        <v>1</v>
      </c>
      <c r="AU197">
        <f t="shared" si="21"/>
        <v>0.95069461174014291</v>
      </c>
      <c r="AV197">
        <f t="shared" si="24"/>
        <v>4</v>
      </c>
      <c r="AW197">
        <f t="shared" si="25"/>
        <v>3</v>
      </c>
      <c r="AX197">
        <f t="shared" si="26"/>
        <v>2</v>
      </c>
      <c r="AY197">
        <f t="shared" si="27"/>
        <v>0</v>
      </c>
      <c r="AZ197">
        <f t="shared" si="22"/>
        <v>3</v>
      </c>
    </row>
    <row r="198" spans="1:52" x14ac:dyDescent="0.2">
      <c r="A198">
        <v>197</v>
      </c>
      <c r="B198" t="s">
        <v>245</v>
      </c>
      <c r="C198">
        <v>0</v>
      </c>
      <c r="H198" t="s">
        <v>245</v>
      </c>
      <c r="I198" t="s">
        <v>158</v>
      </c>
      <c r="Q198" t="s">
        <v>245</v>
      </c>
      <c r="R198">
        <v>31.188356590000001</v>
      </c>
      <c r="S198">
        <v>10</v>
      </c>
      <c r="T198">
        <v>130</v>
      </c>
      <c r="V198">
        <v>0</v>
      </c>
      <c r="W198">
        <v>0</v>
      </c>
      <c r="X198" t="s">
        <v>245</v>
      </c>
      <c r="Y198">
        <v>-1</v>
      </c>
      <c r="Z198">
        <v>10</v>
      </c>
      <c r="AA198">
        <v>31.19</v>
      </c>
      <c r="AB198">
        <v>130</v>
      </c>
      <c r="AC198">
        <v>118.39</v>
      </c>
      <c r="AD198">
        <v>0.48</v>
      </c>
      <c r="AE198">
        <v>0</v>
      </c>
      <c r="AF198">
        <v>0.12</v>
      </c>
      <c r="AG198">
        <v>1</v>
      </c>
      <c r="AH198">
        <v>118.39</v>
      </c>
      <c r="AI198">
        <v>118.39</v>
      </c>
      <c r="AJ198">
        <v>118.39</v>
      </c>
      <c r="AK198">
        <v>0.48</v>
      </c>
      <c r="AL198">
        <v>0.48</v>
      </c>
      <c r="AM198">
        <v>0.48</v>
      </c>
      <c r="AN198">
        <v>0</v>
      </c>
      <c r="AO198">
        <v>0</v>
      </c>
      <c r="AP198">
        <v>0</v>
      </c>
      <c r="AQ198">
        <v>31.188356590000001</v>
      </c>
      <c r="AR198">
        <v>0</v>
      </c>
      <c r="AS198">
        <f>_xlfn.XLOOKUP(B198,InstallDate!$H$2:$H$389,InstallDate!$BE$2:$BE$389)</f>
        <v>1</v>
      </c>
      <c r="AT198">
        <f t="shared" si="23"/>
        <v>1</v>
      </c>
      <c r="AU198">
        <f t="shared" si="21"/>
        <v>0.95069461174014291</v>
      </c>
      <c r="AV198">
        <f t="shared" si="24"/>
        <v>4</v>
      </c>
      <c r="AW198">
        <f t="shared" si="25"/>
        <v>3</v>
      </c>
      <c r="AX198">
        <f t="shared" si="26"/>
        <v>2</v>
      </c>
      <c r="AY198">
        <f t="shared" si="27"/>
        <v>0</v>
      </c>
      <c r="AZ198">
        <f t="shared" si="22"/>
        <v>3</v>
      </c>
    </row>
    <row r="199" spans="1:52" x14ac:dyDescent="0.2">
      <c r="A199">
        <v>198</v>
      </c>
      <c r="B199" t="s">
        <v>246</v>
      </c>
      <c r="C199">
        <v>0</v>
      </c>
      <c r="H199" t="s">
        <v>246</v>
      </c>
      <c r="I199" t="s">
        <v>158</v>
      </c>
      <c r="Q199" t="s">
        <v>246</v>
      </c>
      <c r="R199">
        <v>551.1132222</v>
      </c>
      <c r="S199">
        <v>10</v>
      </c>
      <c r="T199">
        <v>130</v>
      </c>
      <c r="V199">
        <v>0</v>
      </c>
      <c r="W199">
        <v>0</v>
      </c>
      <c r="X199" t="s">
        <v>246</v>
      </c>
      <c r="Y199">
        <v>-1</v>
      </c>
      <c r="Z199">
        <v>10</v>
      </c>
      <c r="AA199">
        <v>551.11</v>
      </c>
      <c r="AB199">
        <v>130</v>
      </c>
      <c r="AC199">
        <v>123.7</v>
      </c>
      <c r="AD199">
        <v>0.51</v>
      </c>
      <c r="AE199">
        <v>7.0000000000000007E-2</v>
      </c>
      <c r="AF199">
        <v>0.13</v>
      </c>
      <c r="AG199">
        <v>1</v>
      </c>
      <c r="AH199">
        <v>123.7</v>
      </c>
      <c r="AI199">
        <v>123.7</v>
      </c>
      <c r="AJ199">
        <v>123.7</v>
      </c>
      <c r="AK199">
        <v>0.51</v>
      </c>
      <c r="AL199">
        <v>0.51</v>
      </c>
      <c r="AM199">
        <v>0.51</v>
      </c>
      <c r="AN199">
        <v>7.0000000000000007E-2</v>
      </c>
      <c r="AO199">
        <v>7.0000000000000007E-2</v>
      </c>
      <c r="AP199">
        <v>7.0000000000000007E-2</v>
      </c>
      <c r="AQ199">
        <v>551.1132222</v>
      </c>
      <c r="AR199">
        <v>0</v>
      </c>
      <c r="AS199">
        <f>_xlfn.XLOOKUP(B199,InstallDate!$H$2:$H$389,InstallDate!$BE$2:$BE$389)</f>
        <v>1</v>
      </c>
      <c r="AT199">
        <f t="shared" si="23"/>
        <v>1</v>
      </c>
      <c r="AU199">
        <f t="shared" si="21"/>
        <v>0.99333493937203887</v>
      </c>
      <c r="AV199">
        <f t="shared" si="24"/>
        <v>4</v>
      </c>
      <c r="AW199">
        <f t="shared" si="25"/>
        <v>3</v>
      </c>
      <c r="AX199">
        <f t="shared" si="26"/>
        <v>2</v>
      </c>
      <c r="AY199">
        <f t="shared" si="27"/>
        <v>0</v>
      </c>
      <c r="AZ199">
        <f t="shared" si="22"/>
        <v>3</v>
      </c>
    </row>
    <row r="200" spans="1:52" x14ac:dyDescent="0.2">
      <c r="A200">
        <v>199</v>
      </c>
      <c r="B200" t="s">
        <v>247</v>
      </c>
      <c r="C200">
        <v>0</v>
      </c>
      <c r="H200" t="s">
        <v>247</v>
      </c>
      <c r="I200" t="s">
        <v>158</v>
      </c>
      <c r="Q200" t="s">
        <v>247</v>
      </c>
      <c r="R200">
        <v>25.961845010000001</v>
      </c>
      <c r="S200">
        <v>10</v>
      </c>
      <c r="T200">
        <v>130</v>
      </c>
      <c r="V200">
        <v>0</v>
      </c>
      <c r="W200">
        <v>0</v>
      </c>
      <c r="X200" t="s">
        <v>247</v>
      </c>
      <c r="Y200">
        <v>-1</v>
      </c>
      <c r="Z200">
        <v>10</v>
      </c>
      <c r="AA200">
        <v>25.96</v>
      </c>
      <c r="AB200">
        <v>130</v>
      </c>
      <c r="AC200">
        <v>124.53</v>
      </c>
      <c r="AD200">
        <v>0.51</v>
      </c>
      <c r="AE200">
        <v>0</v>
      </c>
      <c r="AF200">
        <v>0.13</v>
      </c>
      <c r="AG200">
        <v>1</v>
      </c>
      <c r="AH200">
        <v>124.53</v>
      </c>
      <c r="AI200">
        <v>124.53</v>
      </c>
      <c r="AJ200">
        <v>124.53</v>
      </c>
      <c r="AK200">
        <v>0.51</v>
      </c>
      <c r="AL200">
        <v>0.51</v>
      </c>
      <c r="AM200">
        <v>0.51</v>
      </c>
      <c r="AN200">
        <v>0</v>
      </c>
      <c r="AO200">
        <v>0</v>
      </c>
      <c r="AP200">
        <v>0</v>
      </c>
      <c r="AQ200">
        <v>25.961845</v>
      </c>
      <c r="AR200">
        <v>0</v>
      </c>
      <c r="AS200">
        <f>_xlfn.XLOOKUP(B200,InstallDate!$H$2:$H$389,InstallDate!$BE$2:$BE$389)</f>
        <v>1</v>
      </c>
      <c r="AT200">
        <f t="shared" si="23"/>
        <v>1</v>
      </c>
      <c r="AU200">
        <f t="shared" si="21"/>
        <v>1</v>
      </c>
      <c r="AV200">
        <f t="shared" si="24"/>
        <v>4</v>
      </c>
      <c r="AW200">
        <f t="shared" si="25"/>
        <v>3</v>
      </c>
      <c r="AX200">
        <f t="shared" si="26"/>
        <v>2</v>
      </c>
      <c r="AY200">
        <f t="shared" si="27"/>
        <v>0</v>
      </c>
      <c r="AZ200">
        <f t="shared" si="22"/>
        <v>3</v>
      </c>
    </row>
    <row r="201" spans="1:52" x14ac:dyDescent="0.2">
      <c r="A201">
        <v>200</v>
      </c>
      <c r="B201" t="s">
        <v>248</v>
      </c>
      <c r="C201">
        <v>0</v>
      </c>
      <c r="H201" t="s">
        <v>248</v>
      </c>
      <c r="I201" t="s">
        <v>158</v>
      </c>
      <c r="Q201" t="s">
        <v>248</v>
      </c>
      <c r="R201">
        <v>697.54764639999996</v>
      </c>
      <c r="S201">
        <v>10</v>
      </c>
      <c r="T201">
        <v>130</v>
      </c>
      <c r="V201">
        <v>0</v>
      </c>
      <c r="W201">
        <v>0</v>
      </c>
      <c r="X201" t="s">
        <v>248</v>
      </c>
      <c r="Y201">
        <v>-1</v>
      </c>
      <c r="Z201">
        <v>10</v>
      </c>
      <c r="AA201">
        <v>697.55</v>
      </c>
      <c r="AB201">
        <v>130</v>
      </c>
      <c r="AC201">
        <v>124.53</v>
      </c>
      <c r="AD201">
        <v>0.51</v>
      </c>
      <c r="AE201">
        <v>0.09</v>
      </c>
      <c r="AF201">
        <v>0.13</v>
      </c>
      <c r="AG201">
        <v>1</v>
      </c>
      <c r="AH201">
        <v>124.53</v>
      </c>
      <c r="AI201">
        <v>124.53</v>
      </c>
      <c r="AJ201">
        <v>124.53</v>
      </c>
      <c r="AK201">
        <v>0.51</v>
      </c>
      <c r="AL201">
        <v>0.51</v>
      </c>
      <c r="AM201">
        <v>0.51</v>
      </c>
      <c r="AN201">
        <v>0.09</v>
      </c>
      <c r="AO201">
        <v>0.09</v>
      </c>
      <c r="AP201">
        <v>0.09</v>
      </c>
      <c r="AQ201">
        <v>697.5476463</v>
      </c>
      <c r="AR201">
        <v>0</v>
      </c>
      <c r="AS201">
        <f>_xlfn.XLOOKUP(B201,InstallDate!$H$2:$H$389,InstallDate!$BE$2:$BE$389)</f>
        <v>1</v>
      </c>
      <c r="AT201">
        <f t="shared" si="23"/>
        <v>1</v>
      </c>
      <c r="AU201">
        <f t="shared" si="21"/>
        <v>1</v>
      </c>
      <c r="AV201">
        <f t="shared" si="24"/>
        <v>4</v>
      </c>
      <c r="AW201">
        <f t="shared" si="25"/>
        <v>3</v>
      </c>
      <c r="AX201">
        <f t="shared" si="26"/>
        <v>2</v>
      </c>
      <c r="AY201">
        <f t="shared" si="27"/>
        <v>0</v>
      </c>
      <c r="AZ201">
        <f t="shared" si="22"/>
        <v>3</v>
      </c>
    </row>
    <row r="202" spans="1:52" x14ac:dyDescent="0.2">
      <c r="A202">
        <v>201</v>
      </c>
      <c r="B202" t="s">
        <v>249</v>
      </c>
      <c r="C202">
        <v>0</v>
      </c>
      <c r="H202" t="s">
        <v>249</v>
      </c>
      <c r="I202" t="s">
        <v>158</v>
      </c>
      <c r="Q202" t="s">
        <v>249</v>
      </c>
      <c r="R202">
        <v>1110.021747</v>
      </c>
      <c r="S202">
        <v>10</v>
      </c>
      <c r="T202">
        <v>130</v>
      </c>
      <c r="V202">
        <v>0</v>
      </c>
      <c r="W202">
        <v>0</v>
      </c>
      <c r="X202" t="s">
        <v>249</v>
      </c>
      <c r="Y202">
        <v>-1</v>
      </c>
      <c r="Z202">
        <v>10</v>
      </c>
      <c r="AA202">
        <v>1110.02</v>
      </c>
      <c r="AB202">
        <v>130</v>
      </c>
      <c r="AC202">
        <v>100.73</v>
      </c>
      <c r="AD202">
        <v>0.41</v>
      </c>
      <c r="AE202">
        <v>0.1</v>
      </c>
      <c r="AF202">
        <v>0.09</v>
      </c>
      <c r="AG202">
        <v>1</v>
      </c>
      <c r="AH202">
        <v>100.73</v>
      </c>
      <c r="AI202">
        <v>100.73</v>
      </c>
      <c r="AJ202">
        <v>100.73</v>
      </c>
      <c r="AK202">
        <v>0.41</v>
      </c>
      <c r="AL202">
        <v>0.41</v>
      </c>
      <c r="AM202">
        <v>0.41</v>
      </c>
      <c r="AN202">
        <v>0.1</v>
      </c>
      <c r="AO202">
        <v>0.1</v>
      </c>
      <c r="AP202">
        <v>0.1</v>
      </c>
      <c r="AQ202">
        <v>1110.021747</v>
      </c>
      <c r="AR202">
        <v>0</v>
      </c>
      <c r="AS202">
        <f>_xlfn.XLOOKUP(B202,InstallDate!$H$2:$H$389,InstallDate!$BE$2:$BE$389)</f>
        <v>0</v>
      </c>
      <c r="AT202">
        <f t="shared" si="23"/>
        <v>0</v>
      </c>
      <c r="AU202">
        <f t="shared" si="21"/>
        <v>0.80888139404159642</v>
      </c>
      <c r="AV202">
        <f t="shared" si="24"/>
        <v>4</v>
      </c>
      <c r="AW202">
        <f t="shared" si="25"/>
        <v>3</v>
      </c>
      <c r="AX202">
        <f t="shared" si="26"/>
        <v>2</v>
      </c>
      <c r="AY202">
        <f t="shared" si="27"/>
        <v>0</v>
      </c>
      <c r="AZ202">
        <f t="shared" si="22"/>
        <v>2</v>
      </c>
    </row>
    <row r="203" spans="1:52" x14ac:dyDescent="0.2">
      <c r="A203">
        <v>202</v>
      </c>
      <c r="B203" t="s">
        <v>250</v>
      </c>
      <c r="C203">
        <v>0</v>
      </c>
      <c r="H203" t="s">
        <v>250</v>
      </c>
      <c r="I203" t="s">
        <v>158</v>
      </c>
      <c r="Q203" t="s">
        <v>250</v>
      </c>
      <c r="R203">
        <v>285.35923969999999</v>
      </c>
      <c r="S203">
        <v>10</v>
      </c>
      <c r="T203">
        <v>130</v>
      </c>
      <c r="V203">
        <v>0</v>
      </c>
      <c r="W203">
        <v>0</v>
      </c>
      <c r="X203" t="s">
        <v>250</v>
      </c>
      <c r="Y203">
        <v>-1</v>
      </c>
      <c r="Z203">
        <v>10</v>
      </c>
      <c r="AA203">
        <v>285.36</v>
      </c>
      <c r="AB203">
        <v>130</v>
      </c>
      <c r="AC203">
        <v>100.73</v>
      </c>
      <c r="AD203">
        <v>0.41</v>
      </c>
      <c r="AE203">
        <v>0.03</v>
      </c>
      <c r="AF203">
        <v>0.09</v>
      </c>
      <c r="AG203">
        <v>1</v>
      </c>
      <c r="AH203">
        <v>100.73</v>
      </c>
      <c r="AI203">
        <v>100.73</v>
      </c>
      <c r="AJ203">
        <v>100.73</v>
      </c>
      <c r="AK203">
        <v>0.41</v>
      </c>
      <c r="AL203">
        <v>0.41</v>
      </c>
      <c r="AM203">
        <v>0.41</v>
      </c>
      <c r="AN203">
        <v>0.03</v>
      </c>
      <c r="AO203">
        <v>0.03</v>
      </c>
      <c r="AP203">
        <v>0.03</v>
      </c>
      <c r="AQ203">
        <v>285.35923969999999</v>
      </c>
      <c r="AR203">
        <v>0</v>
      </c>
      <c r="AS203">
        <f>_xlfn.XLOOKUP(B203,InstallDate!$H$2:$H$389,InstallDate!$BE$2:$BE$389)</f>
        <v>0</v>
      </c>
      <c r="AT203">
        <f t="shared" si="23"/>
        <v>0</v>
      </c>
      <c r="AU203">
        <f t="shared" si="21"/>
        <v>0.80888139404159642</v>
      </c>
      <c r="AV203">
        <f t="shared" si="24"/>
        <v>4</v>
      </c>
      <c r="AW203">
        <f t="shared" si="25"/>
        <v>3</v>
      </c>
      <c r="AX203">
        <f t="shared" si="26"/>
        <v>2</v>
      </c>
      <c r="AY203">
        <f t="shared" si="27"/>
        <v>0</v>
      </c>
      <c r="AZ203">
        <f t="shared" si="22"/>
        <v>2</v>
      </c>
    </row>
    <row r="204" spans="1:52" x14ac:dyDescent="0.2">
      <c r="A204">
        <v>203</v>
      </c>
      <c r="B204" t="s">
        <v>251</v>
      </c>
      <c r="C204">
        <v>0</v>
      </c>
      <c r="H204" t="s">
        <v>251</v>
      </c>
      <c r="I204" t="s">
        <v>158</v>
      </c>
      <c r="Q204" t="s">
        <v>251</v>
      </c>
      <c r="R204">
        <v>401.92788839999997</v>
      </c>
      <c r="S204">
        <v>10</v>
      </c>
      <c r="T204">
        <v>130</v>
      </c>
      <c r="V204">
        <v>0</v>
      </c>
      <c r="W204">
        <v>0</v>
      </c>
      <c r="X204" t="s">
        <v>251</v>
      </c>
      <c r="Y204">
        <v>1</v>
      </c>
      <c r="Z204">
        <v>10</v>
      </c>
      <c r="AA204">
        <v>401.93</v>
      </c>
      <c r="AB204">
        <v>130</v>
      </c>
      <c r="AC204">
        <v>100.73</v>
      </c>
      <c r="AD204">
        <v>0.41</v>
      </c>
      <c r="AE204">
        <v>0.04</v>
      </c>
      <c r="AF204">
        <v>0.09</v>
      </c>
      <c r="AG204">
        <v>1</v>
      </c>
      <c r="AH204">
        <v>100.73</v>
      </c>
      <c r="AI204">
        <v>100.73</v>
      </c>
      <c r="AJ204">
        <v>100.73</v>
      </c>
      <c r="AK204">
        <v>0.41</v>
      </c>
      <c r="AL204">
        <v>0.41</v>
      </c>
      <c r="AM204">
        <v>0.41</v>
      </c>
      <c r="AN204">
        <v>0.04</v>
      </c>
      <c r="AO204">
        <v>0.04</v>
      </c>
      <c r="AP204">
        <v>0.04</v>
      </c>
      <c r="AQ204">
        <v>401.92788839999997</v>
      </c>
      <c r="AR204">
        <v>0</v>
      </c>
      <c r="AS204">
        <f>_xlfn.XLOOKUP(B204,InstallDate!$H$2:$H$389,InstallDate!$BE$2:$BE$389)</f>
        <v>0</v>
      </c>
      <c r="AT204">
        <f t="shared" si="23"/>
        <v>0</v>
      </c>
      <c r="AU204">
        <f t="shared" si="21"/>
        <v>0.80888139404159642</v>
      </c>
      <c r="AV204">
        <f t="shared" si="24"/>
        <v>4</v>
      </c>
      <c r="AW204">
        <f t="shared" si="25"/>
        <v>3</v>
      </c>
      <c r="AX204">
        <f t="shared" si="26"/>
        <v>2</v>
      </c>
      <c r="AY204">
        <f t="shared" si="27"/>
        <v>0</v>
      </c>
      <c r="AZ204">
        <f t="shared" si="22"/>
        <v>2</v>
      </c>
    </row>
    <row r="205" spans="1:52" x14ac:dyDescent="0.2">
      <c r="A205">
        <v>204</v>
      </c>
      <c r="B205" t="s">
        <v>252</v>
      </c>
      <c r="C205">
        <v>0</v>
      </c>
      <c r="H205" t="s">
        <v>252</v>
      </c>
      <c r="I205" t="s">
        <v>158</v>
      </c>
      <c r="Q205" t="s">
        <v>252</v>
      </c>
      <c r="R205">
        <v>30.560740450000001</v>
      </c>
      <c r="S205">
        <v>8</v>
      </c>
      <c r="T205">
        <v>130</v>
      </c>
      <c r="V205">
        <v>0</v>
      </c>
      <c r="W205">
        <v>0</v>
      </c>
      <c r="X205" t="s">
        <v>252</v>
      </c>
      <c r="Y205">
        <v>-1</v>
      </c>
      <c r="Z205">
        <v>8</v>
      </c>
      <c r="AA205">
        <v>30.56</v>
      </c>
      <c r="AB205">
        <v>130</v>
      </c>
      <c r="AC205">
        <v>24.5</v>
      </c>
      <c r="AD205">
        <v>0.16</v>
      </c>
      <c r="AE205">
        <v>0</v>
      </c>
      <c r="AF205">
        <v>0.02</v>
      </c>
      <c r="AG205">
        <v>1</v>
      </c>
      <c r="AH205">
        <v>24.5</v>
      </c>
      <c r="AI205">
        <v>24.5</v>
      </c>
      <c r="AJ205">
        <v>24.5</v>
      </c>
      <c r="AK205">
        <v>0.16</v>
      </c>
      <c r="AL205">
        <v>0.16</v>
      </c>
      <c r="AM205">
        <v>0.16</v>
      </c>
      <c r="AN205">
        <v>0</v>
      </c>
      <c r="AO205">
        <v>0</v>
      </c>
      <c r="AP205">
        <v>0</v>
      </c>
      <c r="AQ205">
        <v>30.560740450000001</v>
      </c>
      <c r="AR205">
        <v>0</v>
      </c>
      <c r="AS205">
        <f>_xlfn.XLOOKUP(B205,InstallDate!$H$2:$H$389,InstallDate!$BE$2:$BE$389)</f>
        <v>1</v>
      </c>
      <c r="AT205">
        <f t="shared" si="23"/>
        <v>1</v>
      </c>
      <c r="AU205">
        <f t="shared" si="21"/>
        <v>0.1967397414277684</v>
      </c>
      <c r="AV205">
        <f t="shared" si="24"/>
        <v>0</v>
      </c>
      <c r="AW205">
        <f t="shared" si="25"/>
        <v>3</v>
      </c>
      <c r="AX205">
        <f t="shared" si="26"/>
        <v>2</v>
      </c>
      <c r="AY205">
        <f t="shared" si="27"/>
        <v>0</v>
      </c>
      <c r="AZ205">
        <f t="shared" si="22"/>
        <v>3</v>
      </c>
    </row>
    <row r="206" spans="1:52" x14ac:dyDescent="0.2">
      <c r="A206">
        <v>205</v>
      </c>
      <c r="B206" t="s">
        <v>253</v>
      </c>
      <c r="C206">
        <v>0</v>
      </c>
      <c r="H206" t="s">
        <v>253</v>
      </c>
      <c r="I206" t="s">
        <v>158</v>
      </c>
      <c r="Q206" t="s">
        <v>253</v>
      </c>
      <c r="R206">
        <v>320.27901609999998</v>
      </c>
      <c r="S206">
        <v>8</v>
      </c>
      <c r="T206">
        <v>130</v>
      </c>
      <c r="V206">
        <v>0</v>
      </c>
      <c r="W206">
        <v>0</v>
      </c>
      <c r="X206" t="s">
        <v>253</v>
      </c>
      <c r="Y206">
        <v>-1</v>
      </c>
      <c r="Z206">
        <v>8</v>
      </c>
      <c r="AA206">
        <v>320.27999999999997</v>
      </c>
      <c r="AB206">
        <v>130</v>
      </c>
      <c r="AC206">
        <v>24.5</v>
      </c>
      <c r="AD206">
        <v>0.16</v>
      </c>
      <c r="AE206">
        <v>0.01</v>
      </c>
      <c r="AF206">
        <v>0.02</v>
      </c>
      <c r="AG206">
        <v>1</v>
      </c>
      <c r="AH206">
        <v>24.5</v>
      </c>
      <c r="AI206">
        <v>24.5</v>
      </c>
      <c r="AJ206">
        <v>24.5</v>
      </c>
      <c r="AK206">
        <v>0.16</v>
      </c>
      <c r="AL206">
        <v>0.16</v>
      </c>
      <c r="AM206">
        <v>0.16</v>
      </c>
      <c r="AN206">
        <v>0.01</v>
      </c>
      <c r="AO206">
        <v>0.01</v>
      </c>
      <c r="AP206">
        <v>0.01</v>
      </c>
      <c r="AQ206">
        <v>320.27901609999998</v>
      </c>
      <c r="AR206">
        <v>0</v>
      </c>
      <c r="AS206">
        <f>_xlfn.XLOOKUP(B206,InstallDate!$H$2:$H$389,InstallDate!$BE$2:$BE$389)</f>
        <v>1</v>
      </c>
      <c r="AT206">
        <f t="shared" si="23"/>
        <v>1</v>
      </c>
      <c r="AU206">
        <f t="shared" si="21"/>
        <v>0.1967397414277684</v>
      </c>
      <c r="AV206">
        <f t="shared" si="24"/>
        <v>0</v>
      </c>
      <c r="AW206">
        <f t="shared" si="25"/>
        <v>3</v>
      </c>
      <c r="AX206">
        <f t="shared" si="26"/>
        <v>2</v>
      </c>
      <c r="AY206">
        <f t="shared" si="27"/>
        <v>0</v>
      </c>
      <c r="AZ206">
        <f t="shared" si="22"/>
        <v>3</v>
      </c>
    </row>
    <row r="207" spans="1:52" x14ac:dyDescent="0.2">
      <c r="A207">
        <v>206</v>
      </c>
      <c r="B207" t="s">
        <v>254</v>
      </c>
      <c r="C207">
        <v>0</v>
      </c>
      <c r="H207" t="s">
        <v>254</v>
      </c>
      <c r="I207" t="s">
        <v>158</v>
      </c>
      <c r="Q207" t="s">
        <v>254</v>
      </c>
      <c r="R207">
        <v>875.94240449999995</v>
      </c>
      <c r="S207">
        <v>8</v>
      </c>
      <c r="T207">
        <v>130</v>
      </c>
      <c r="V207">
        <v>0</v>
      </c>
      <c r="W207">
        <v>0</v>
      </c>
      <c r="X207" t="s">
        <v>254</v>
      </c>
      <c r="Y207">
        <v>-1</v>
      </c>
      <c r="Z207">
        <v>8</v>
      </c>
      <c r="AA207">
        <v>875.94</v>
      </c>
      <c r="AB207">
        <v>130</v>
      </c>
      <c r="AC207">
        <v>25.06</v>
      </c>
      <c r="AD207">
        <v>0.16</v>
      </c>
      <c r="AE207">
        <v>0.02</v>
      </c>
      <c r="AF207">
        <v>0.02</v>
      </c>
      <c r="AG207">
        <v>1</v>
      </c>
      <c r="AH207">
        <v>25.06</v>
      </c>
      <c r="AI207">
        <v>25.06</v>
      </c>
      <c r="AJ207">
        <v>25.06</v>
      </c>
      <c r="AK207">
        <v>0.16</v>
      </c>
      <c r="AL207">
        <v>0.16</v>
      </c>
      <c r="AM207">
        <v>0.16</v>
      </c>
      <c r="AN207">
        <v>0.02</v>
      </c>
      <c r="AO207">
        <v>0.02</v>
      </c>
      <c r="AP207">
        <v>0.02</v>
      </c>
      <c r="AQ207">
        <v>875.94240449999995</v>
      </c>
      <c r="AR207">
        <v>0</v>
      </c>
      <c r="AS207">
        <f>_xlfn.XLOOKUP(B207,InstallDate!$H$2:$H$389,InstallDate!$BE$2:$BE$389)</f>
        <v>0</v>
      </c>
      <c r="AT207">
        <f t="shared" si="23"/>
        <v>0</v>
      </c>
      <c r="AU207">
        <f t="shared" si="21"/>
        <v>0.20123664980326025</v>
      </c>
      <c r="AV207">
        <f t="shared" si="24"/>
        <v>0</v>
      </c>
      <c r="AW207">
        <f t="shared" si="25"/>
        <v>3</v>
      </c>
      <c r="AX207">
        <f t="shared" si="26"/>
        <v>2</v>
      </c>
      <c r="AY207">
        <f t="shared" si="27"/>
        <v>0</v>
      </c>
      <c r="AZ207">
        <f t="shared" si="22"/>
        <v>2</v>
      </c>
    </row>
    <row r="208" spans="1:52" x14ac:dyDescent="0.2">
      <c r="A208">
        <v>207</v>
      </c>
      <c r="B208" t="s">
        <v>255</v>
      </c>
      <c r="C208">
        <v>0</v>
      </c>
      <c r="H208" t="s">
        <v>255</v>
      </c>
      <c r="I208" t="s">
        <v>158</v>
      </c>
      <c r="Q208" t="s">
        <v>255</v>
      </c>
      <c r="R208">
        <v>599.27374970000005</v>
      </c>
      <c r="S208">
        <v>8</v>
      </c>
      <c r="T208">
        <v>130</v>
      </c>
      <c r="V208">
        <v>0</v>
      </c>
      <c r="W208">
        <v>0</v>
      </c>
      <c r="X208" t="s">
        <v>255</v>
      </c>
      <c r="Y208">
        <v>-1</v>
      </c>
      <c r="Z208">
        <v>8</v>
      </c>
      <c r="AA208">
        <v>599.27</v>
      </c>
      <c r="AB208">
        <v>130</v>
      </c>
      <c r="AC208">
        <v>26.03</v>
      </c>
      <c r="AD208">
        <v>0.17</v>
      </c>
      <c r="AE208">
        <v>0.01</v>
      </c>
      <c r="AF208">
        <v>0.02</v>
      </c>
      <c r="AG208">
        <v>1</v>
      </c>
      <c r="AH208">
        <v>26.03</v>
      </c>
      <c r="AI208">
        <v>26.03</v>
      </c>
      <c r="AJ208">
        <v>26.03</v>
      </c>
      <c r="AK208">
        <v>0.17</v>
      </c>
      <c r="AL208">
        <v>0.17</v>
      </c>
      <c r="AM208">
        <v>0.17</v>
      </c>
      <c r="AN208">
        <v>0.01</v>
      </c>
      <c r="AO208">
        <v>0.01</v>
      </c>
      <c r="AP208">
        <v>0.01</v>
      </c>
      <c r="AQ208">
        <v>599.27374970000005</v>
      </c>
      <c r="AR208">
        <v>0</v>
      </c>
      <c r="AS208">
        <f>_xlfn.XLOOKUP(B208,InstallDate!$H$2:$H$389,InstallDate!$BE$2:$BE$389)</f>
        <v>1</v>
      </c>
      <c r="AT208">
        <f t="shared" si="23"/>
        <v>1</v>
      </c>
      <c r="AU208">
        <f t="shared" si="21"/>
        <v>0.20902593752509435</v>
      </c>
      <c r="AV208">
        <f t="shared" si="24"/>
        <v>0</v>
      </c>
      <c r="AW208">
        <f t="shared" si="25"/>
        <v>3</v>
      </c>
      <c r="AX208">
        <f t="shared" si="26"/>
        <v>2</v>
      </c>
      <c r="AY208">
        <f t="shared" si="27"/>
        <v>0</v>
      </c>
      <c r="AZ208">
        <f t="shared" si="22"/>
        <v>3</v>
      </c>
    </row>
    <row r="209" spans="1:52" x14ac:dyDescent="0.2">
      <c r="A209">
        <v>208</v>
      </c>
      <c r="B209" t="s">
        <v>256</v>
      </c>
      <c r="C209">
        <v>0</v>
      </c>
      <c r="H209" t="s">
        <v>256</v>
      </c>
      <c r="I209" t="s">
        <v>158</v>
      </c>
      <c r="Q209" t="s">
        <v>256</v>
      </c>
      <c r="R209">
        <v>616.78315769999995</v>
      </c>
      <c r="S209">
        <v>8</v>
      </c>
      <c r="T209">
        <v>130</v>
      </c>
      <c r="V209">
        <v>0</v>
      </c>
      <c r="W209">
        <v>0</v>
      </c>
      <c r="X209" t="s">
        <v>256</v>
      </c>
      <c r="Y209">
        <v>-1</v>
      </c>
      <c r="Z209">
        <v>8</v>
      </c>
      <c r="AA209">
        <v>616.78</v>
      </c>
      <c r="AB209">
        <v>130</v>
      </c>
      <c r="AC209">
        <v>26.86</v>
      </c>
      <c r="AD209">
        <v>0.17</v>
      </c>
      <c r="AE209">
        <v>0.01</v>
      </c>
      <c r="AF209">
        <v>0.02</v>
      </c>
      <c r="AG209">
        <v>1</v>
      </c>
      <c r="AH209">
        <v>26.86</v>
      </c>
      <c r="AI209">
        <v>26.86</v>
      </c>
      <c r="AJ209">
        <v>26.86</v>
      </c>
      <c r="AK209">
        <v>0.17</v>
      </c>
      <c r="AL209">
        <v>0.17</v>
      </c>
      <c r="AM209">
        <v>0.17</v>
      </c>
      <c r="AN209">
        <v>0.01</v>
      </c>
      <c r="AO209">
        <v>0.01</v>
      </c>
      <c r="AP209">
        <v>0.01</v>
      </c>
      <c r="AQ209">
        <v>616.78315769999995</v>
      </c>
      <c r="AR209">
        <v>0</v>
      </c>
      <c r="AS209">
        <f>_xlfn.XLOOKUP(B209,InstallDate!$H$2:$H$389,InstallDate!$BE$2:$BE$389)</f>
        <v>0</v>
      </c>
      <c r="AT209">
        <f t="shared" si="23"/>
        <v>0</v>
      </c>
      <c r="AU209">
        <f t="shared" si="21"/>
        <v>0.21569099815305548</v>
      </c>
      <c r="AV209">
        <f t="shared" si="24"/>
        <v>0</v>
      </c>
      <c r="AW209">
        <f t="shared" si="25"/>
        <v>3</v>
      </c>
      <c r="AX209">
        <f t="shared" si="26"/>
        <v>2</v>
      </c>
      <c r="AY209">
        <f t="shared" si="27"/>
        <v>0</v>
      </c>
      <c r="AZ209">
        <f t="shared" si="22"/>
        <v>2</v>
      </c>
    </row>
    <row r="210" spans="1:52" x14ac:dyDescent="0.2">
      <c r="A210">
        <v>209</v>
      </c>
      <c r="B210" t="s">
        <v>257</v>
      </c>
      <c r="C210">
        <v>0</v>
      </c>
      <c r="H210" t="s">
        <v>257</v>
      </c>
      <c r="I210" t="s">
        <v>158</v>
      </c>
      <c r="Q210" t="s">
        <v>257</v>
      </c>
      <c r="R210">
        <v>33.535813070000003</v>
      </c>
      <c r="S210">
        <v>6</v>
      </c>
      <c r="T210">
        <v>130</v>
      </c>
      <c r="V210">
        <v>0</v>
      </c>
      <c r="W210">
        <v>0</v>
      </c>
      <c r="X210" t="s">
        <v>257</v>
      </c>
      <c r="Y210">
        <v>1</v>
      </c>
      <c r="Z210">
        <v>6</v>
      </c>
      <c r="AA210">
        <v>33.54</v>
      </c>
      <c r="AB210">
        <v>130</v>
      </c>
      <c r="AC210">
        <v>2.82</v>
      </c>
      <c r="AD210">
        <v>0.03</v>
      </c>
      <c r="AE210">
        <v>0</v>
      </c>
      <c r="AF210">
        <v>0</v>
      </c>
      <c r="AG210">
        <v>1</v>
      </c>
      <c r="AH210">
        <v>2.82</v>
      </c>
      <c r="AI210">
        <v>2.82</v>
      </c>
      <c r="AJ210">
        <v>2.82</v>
      </c>
      <c r="AK210">
        <v>0.03</v>
      </c>
      <c r="AL210">
        <v>0.03</v>
      </c>
      <c r="AM210">
        <v>0.03</v>
      </c>
      <c r="AN210">
        <v>0</v>
      </c>
      <c r="AO210">
        <v>0</v>
      </c>
      <c r="AP210">
        <v>0</v>
      </c>
      <c r="AQ210">
        <v>33.535813070000003</v>
      </c>
      <c r="AR210">
        <v>0</v>
      </c>
      <c r="AS210">
        <f>_xlfn.XLOOKUP(B210,InstallDate!$H$2:$H$389,InstallDate!$BE$2:$BE$389)</f>
        <v>0</v>
      </c>
      <c r="AT210">
        <f t="shared" si="23"/>
        <v>0</v>
      </c>
      <c r="AU210">
        <f t="shared" si="21"/>
        <v>2.2645145748012525E-2</v>
      </c>
      <c r="AV210">
        <f t="shared" si="24"/>
        <v>0</v>
      </c>
      <c r="AW210">
        <f t="shared" si="25"/>
        <v>0</v>
      </c>
      <c r="AX210">
        <f t="shared" si="26"/>
        <v>0</v>
      </c>
      <c r="AY210">
        <f t="shared" si="27"/>
        <v>1</v>
      </c>
      <c r="AZ210">
        <f t="shared" si="22"/>
        <v>1</v>
      </c>
    </row>
    <row r="211" spans="1:52" x14ac:dyDescent="0.2">
      <c r="A211">
        <v>210</v>
      </c>
      <c r="B211" t="s">
        <v>258</v>
      </c>
      <c r="C211">
        <v>0</v>
      </c>
      <c r="H211" t="s">
        <v>258</v>
      </c>
      <c r="I211" t="s">
        <v>158</v>
      </c>
      <c r="Q211" t="s">
        <v>258</v>
      </c>
      <c r="R211">
        <v>94.34963424</v>
      </c>
      <c r="S211">
        <v>6</v>
      </c>
      <c r="T211">
        <v>130</v>
      </c>
      <c r="V211">
        <v>0</v>
      </c>
      <c r="W211">
        <v>0</v>
      </c>
      <c r="X211" t="s">
        <v>258</v>
      </c>
      <c r="Y211">
        <v>1</v>
      </c>
      <c r="Z211">
        <v>6</v>
      </c>
      <c r="AA211">
        <v>94.35</v>
      </c>
      <c r="AB211">
        <v>130</v>
      </c>
      <c r="AC211">
        <v>2.82</v>
      </c>
      <c r="AD211">
        <v>0.03</v>
      </c>
      <c r="AE211">
        <v>0</v>
      </c>
      <c r="AF211">
        <v>0</v>
      </c>
      <c r="AG211">
        <v>1</v>
      </c>
      <c r="AH211">
        <v>2.82</v>
      </c>
      <c r="AI211">
        <v>2.82</v>
      </c>
      <c r="AJ211">
        <v>2.82</v>
      </c>
      <c r="AK211">
        <v>0.03</v>
      </c>
      <c r="AL211">
        <v>0.03</v>
      </c>
      <c r="AM211">
        <v>0.03</v>
      </c>
      <c r="AN211">
        <v>0</v>
      </c>
      <c r="AO211">
        <v>0</v>
      </c>
      <c r="AP211">
        <v>0</v>
      </c>
      <c r="AQ211">
        <v>94.34963424</v>
      </c>
      <c r="AR211">
        <v>0</v>
      </c>
      <c r="AS211">
        <f>_xlfn.XLOOKUP(B211,InstallDate!$H$2:$H$389,InstallDate!$BE$2:$BE$389)</f>
        <v>0</v>
      </c>
      <c r="AT211">
        <f t="shared" si="23"/>
        <v>0</v>
      </c>
      <c r="AU211">
        <f t="shared" si="21"/>
        <v>2.2645145748012525E-2</v>
      </c>
      <c r="AV211">
        <f t="shared" si="24"/>
        <v>0</v>
      </c>
      <c r="AW211">
        <f t="shared" si="25"/>
        <v>0</v>
      </c>
      <c r="AX211">
        <f t="shared" si="26"/>
        <v>0</v>
      </c>
      <c r="AY211">
        <f t="shared" si="27"/>
        <v>1</v>
      </c>
      <c r="AZ211">
        <f t="shared" si="22"/>
        <v>1</v>
      </c>
    </row>
    <row r="212" spans="1:52" x14ac:dyDescent="0.2">
      <c r="A212">
        <v>211</v>
      </c>
      <c r="B212" t="s">
        <v>259</v>
      </c>
      <c r="C212">
        <v>0</v>
      </c>
      <c r="H212" t="s">
        <v>259</v>
      </c>
      <c r="I212" t="s">
        <v>158</v>
      </c>
      <c r="Q212" t="s">
        <v>259</v>
      </c>
      <c r="R212">
        <v>324.69508869999999</v>
      </c>
      <c r="S212">
        <v>6</v>
      </c>
      <c r="T212">
        <v>130</v>
      </c>
      <c r="V212">
        <v>0</v>
      </c>
      <c r="W212">
        <v>0</v>
      </c>
      <c r="X212" t="s">
        <v>259</v>
      </c>
      <c r="Y212">
        <v>1</v>
      </c>
      <c r="Z212">
        <v>6</v>
      </c>
      <c r="AA212">
        <v>324.7</v>
      </c>
      <c r="AB212">
        <v>130</v>
      </c>
      <c r="AC212">
        <v>2.5499999999999998</v>
      </c>
      <c r="AD212">
        <v>0.03</v>
      </c>
      <c r="AE212">
        <v>0</v>
      </c>
      <c r="AF212">
        <v>0</v>
      </c>
      <c r="AG212">
        <v>1</v>
      </c>
      <c r="AH212">
        <v>2.5499999999999998</v>
      </c>
      <c r="AI212">
        <v>2.5499999999999998</v>
      </c>
      <c r="AJ212">
        <v>2.5499999999999998</v>
      </c>
      <c r="AK212">
        <v>0.03</v>
      </c>
      <c r="AL212">
        <v>0.03</v>
      </c>
      <c r="AM212">
        <v>0.03</v>
      </c>
      <c r="AN212">
        <v>0</v>
      </c>
      <c r="AO212">
        <v>0</v>
      </c>
      <c r="AP212">
        <v>0</v>
      </c>
      <c r="AQ212">
        <v>324.69508869999999</v>
      </c>
      <c r="AR212">
        <v>0</v>
      </c>
      <c r="AS212">
        <f>_xlfn.XLOOKUP(B212,InstallDate!$H$2:$H$389,InstallDate!$BE$2:$BE$389)</f>
        <v>0</v>
      </c>
      <c r="AT212">
        <f t="shared" si="23"/>
        <v>0</v>
      </c>
      <c r="AU212">
        <f t="shared" si="21"/>
        <v>2.0476993495543241E-2</v>
      </c>
      <c r="AV212">
        <f t="shared" si="24"/>
        <v>0</v>
      </c>
      <c r="AW212">
        <f t="shared" si="25"/>
        <v>0</v>
      </c>
      <c r="AX212">
        <f t="shared" si="26"/>
        <v>0</v>
      </c>
      <c r="AY212">
        <f t="shared" si="27"/>
        <v>1</v>
      </c>
      <c r="AZ212">
        <f t="shared" si="22"/>
        <v>1</v>
      </c>
    </row>
    <row r="213" spans="1:52" x14ac:dyDescent="0.2">
      <c r="A213">
        <v>212</v>
      </c>
      <c r="B213" t="s">
        <v>260</v>
      </c>
      <c r="C213">
        <v>0</v>
      </c>
      <c r="H213" t="s">
        <v>260</v>
      </c>
      <c r="I213" t="s">
        <v>158</v>
      </c>
      <c r="Q213" t="s">
        <v>260</v>
      </c>
      <c r="R213">
        <v>285.7766742</v>
      </c>
      <c r="S213">
        <v>6</v>
      </c>
      <c r="T213">
        <v>130</v>
      </c>
      <c r="V213">
        <v>0</v>
      </c>
      <c r="W213">
        <v>0</v>
      </c>
      <c r="X213" t="s">
        <v>260</v>
      </c>
      <c r="Y213">
        <v>-1</v>
      </c>
      <c r="Z213">
        <v>6</v>
      </c>
      <c r="AA213">
        <v>285.77999999999997</v>
      </c>
      <c r="AB213">
        <v>130</v>
      </c>
      <c r="AC213">
        <v>17.41</v>
      </c>
      <c r="AD213">
        <v>0.2</v>
      </c>
      <c r="AE213">
        <v>0.01</v>
      </c>
      <c r="AF213">
        <v>0.04</v>
      </c>
      <c r="AG213">
        <v>1</v>
      </c>
      <c r="AH213">
        <v>17.41</v>
      </c>
      <c r="AI213">
        <v>17.41</v>
      </c>
      <c r="AJ213">
        <v>17.41</v>
      </c>
      <c r="AK213">
        <v>0.2</v>
      </c>
      <c r="AL213">
        <v>0.2</v>
      </c>
      <c r="AM213">
        <v>0.2</v>
      </c>
      <c r="AN213">
        <v>0.01</v>
      </c>
      <c r="AO213">
        <v>0.01</v>
      </c>
      <c r="AP213">
        <v>0.01</v>
      </c>
      <c r="AQ213">
        <v>285.7766742</v>
      </c>
      <c r="AR213">
        <v>0</v>
      </c>
      <c r="AS213">
        <f>_xlfn.XLOOKUP(B213,InstallDate!$H$2:$H$389,InstallDate!$BE$2:$BE$389)</f>
        <v>0</v>
      </c>
      <c r="AT213">
        <f t="shared" si="23"/>
        <v>0</v>
      </c>
      <c r="AU213">
        <f t="shared" si="21"/>
        <v>0.13980566931663052</v>
      </c>
      <c r="AV213">
        <f t="shared" si="24"/>
        <v>0</v>
      </c>
      <c r="AW213">
        <f t="shared" si="25"/>
        <v>0</v>
      </c>
      <c r="AX213">
        <f t="shared" si="26"/>
        <v>2</v>
      </c>
      <c r="AY213">
        <f t="shared" si="27"/>
        <v>0</v>
      </c>
      <c r="AZ213">
        <f t="shared" si="22"/>
        <v>2</v>
      </c>
    </row>
    <row r="214" spans="1:52" x14ac:dyDescent="0.2">
      <c r="A214">
        <v>213</v>
      </c>
      <c r="B214" t="s">
        <v>261</v>
      </c>
      <c r="C214">
        <v>0</v>
      </c>
      <c r="H214" t="s">
        <v>261</v>
      </c>
      <c r="I214" t="s">
        <v>158</v>
      </c>
      <c r="Q214" t="s">
        <v>261</v>
      </c>
      <c r="R214">
        <v>73.097704399999998</v>
      </c>
      <c r="S214">
        <v>6</v>
      </c>
      <c r="T214">
        <v>130</v>
      </c>
      <c r="V214">
        <v>0</v>
      </c>
      <c r="W214">
        <v>0</v>
      </c>
      <c r="X214" t="s">
        <v>261</v>
      </c>
      <c r="Y214">
        <v>0</v>
      </c>
      <c r="Z214">
        <v>6</v>
      </c>
      <c r="AA214">
        <v>73.099999999999994</v>
      </c>
      <c r="AB214">
        <v>130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73.097704399999998</v>
      </c>
      <c r="AR214">
        <v>0</v>
      </c>
      <c r="AS214">
        <f>_xlfn.XLOOKUP(B214,InstallDate!$H$2:$H$389,InstallDate!$BE$2:$BE$389)</f>
        <v>0</v>
      </c>
      <c r="AT214">
        <f t="shared" si="23"/>
        <v>0</v>
      </c>
      <c r="AU214">
        <f t="shared" si="21"/>
        <v>0</v>
      </c>
      <c r="AV214">
        <f t="shared" si="24"/>
        <v>0</v>
      </c>
      <c r="AW214">
        <f t="shared" si="25"/>
        <v>0</v>
      </c>
      <c r="AX214">
        <f t="shared" si="26"/>
        <v>0</v>
      </c>
      <c r="AY214">
        <f t="shared" si="27"/>
        <v>1</v>
      </c>
      <c r="AZ214">
        <f t="shared" si="22"/>
        <v>1</v>
      </c>
    </row>
    <row r="215" spans="1:52" x14ac:dyDescent="0.2">
      <c r="A215">
        <v>214</v>
      </c>
      <c r="B215" t="s">
        <v>262</v>
      </c>
      <c r="C215">
        <v>0</v>
      </c>
      <c r="H215" t="s">
        <v>262</v>
      </c>
      <c r="I215" t="s">
        <v>158</v>
      </c>
      <c r="Q215" t="s">
        <v>262</v>
      </c>
      <c r="R215">
        <v>45.420186080000001</v>
      </c>
      <c r="S215">
        <v>2</v>
      </c>
      <c r="T215">
        <v>130</v>
      </c>
      <c r="V215">
        <v>0</v>
      </c>
      <c r="W215">
        <v>0</v>
      </c>
      <c r="X215" t="s">
        <v>262</v>
      </c>
      <c r="Y215">
        <v>-1</v>
      </c>
      <c r="Z215">
        <v>2</v>
      </c>
      <c r="AA215">
        <v>45.42</v>
      </c>
      <c r="AB215">
        <v>130</v>
      </c>
      <c r="AC215">
        <v>1.32</v>
      </c>
      <c r="AD215">
        <v>0.13</v>
      </c>
      <c r="AE215">
        <v>0</v>
      </c>
      <c r="AF215">
        <v>7.0000000000000007E-2</v>
      </c>
      <c r="AG215">
        <v>1</v>
      </c>
      <c r="AH215">
        <v>1.32</v>
      </c>
      <c r="AI215">
        <v>1.32</v>
      </c>
      <c r="AJ215">
        <v>1.32</v>
      </c>
      <c r="AK215">
        <v>0.13</v>
      </c>
      <c r="AL215">
        <v>0.13</v>
      </c>
      <c r="AM215">
        <v>0.13</v>
      </c>
      <c r="AN215">
        <v>0</v>
      </c>
      <c r="AO215">
        <v>0</v>
      </c>
      <c r="AP215">
        <v>0</v>
      </c>
      <c r="AQ215">
        <v>45.420186080000001</v>
      </c>
      <c r="AR215">
        <v>0</v>
      </c>
      <c r="AS215">
        <f>_xlfn.XLOOKUP(B215,InstallDate!$H$2:$H$389,InstallDate!$BE$2:$BE$389)</f>
        <v>0</v>
      </c>
      <c r="AT215">
        <f t="shared" si="23"/>
        <v>0</v>
      </c>
      <c r="AU215">
        <f t="shared" si="21"/>
        <v>1.0599855456516502E-2</v>
      </c>
      <c r="AV215">
        <f t="shared" si="24"/>
        <v>0</v>
      </c>
      <c r="AW215">
        <f t="shared" si="25"/>
        <v>0</v>
      </c>
      <c r="AX215">
        <f t="shared" si="26"/>
        <v>0</v>
      </c>
      <c r="AY215">
        <f t="shared" si="27"/>
        <v>1</v>
      </c>
      <c r="AZ215">
        <f t="shared" si="22"/>
        <v>1</v>
      </c>
    </row>
    <row r="216" spans="1:52" x14ac:dyDescent="0.2">
      <c r="A216">
        <v>215</v>
      </c>
      <c r="B216" t="s">
        <v>263</v>
      </c>
      <c r="C216">
        <v>0</v>
      </c>
      <c r="H216" t="s">
        <v>263</v>
      </c>
      <c r="I216" t="s">
        <v>158</v>
      </c>
      <c r="Q216" t="s">
        <v>263</v>
      </c>
      <c r="R216">
        <v>43.31717166</v>
      </c>
      <c r="S216">
        <v>6</v>
      </c>
      <c r="T216">
        <v>130</v>
      </c>
      <c r="V216">
        <v>0</v>
      </c>
      <c r="W216">
        <v>0</v>
      </c>
      <c r="X216" t="s">
        <v>263</v>
      </c>
      <c r="Y216">
        <v>-1</v>
      </c>
      <c r="Z216">
        <v>6</v>
      </c>
      <c r="AA216">
        <v>43.32</v>
      </c>
      <c r="AB216">
        <v>130</v>
      </c>
      <c r="AC216">
        <v>6.52</v>
      </c>
      <c r="AD216">
        <v>7.0000000000000007E-2</v>
      </c>
      <c r="AE216">
        <v>0</v>
      </c>
      <c r="AF216">
        <v>0.01</v>
      </c>
      <c r="AG216">
        <v>1</v>
      </c>
      <c r="AH216">
        <v>6.52</v>
      </c>
      <c r="AI216">
        <v>6.52</v>
      </c>
      <c r="AJ216">
        <v>6.52</v>
      </c>
      <c r="AK216">
        <v>7.0000000000000007E-2</v>
      </c>
      <c r="AL216">
        <v>7.0000000000000007E-2</v>
      </c>
      <c r="AM216">
        <v>7.0000000000000007E-2</v>
      </c>
      <c r="AN216">
        <v>0</v>
      </c>
      <c r="AO216">
        <v>0</v>
      </c>
      <c r="AP216">
        <v>0</v>
      </c>
      <c r="AQ216">
        <v>43.31717166</v>
      </c>
      <c r="AR216">
        <v>0</v>
      </c>
      <c r="AS216">
        <f>_xlfn.XLOOKUP(B216,InstallDate!$H$2:$H$389,InstallDate!$BE$2:$BE$389)</f>
        <v>0</v>
      </c>
      <c r="AT216">
        <f t="shared" si="23"/>
        <v>0</v>
      </c>
      <c r="AU216">
        <f t="shared" si="21"/>
        <v>5.2356861800369386E-2</v>
      </c>
      <c r="AV216">
        <f t="shared" si="24"/>
        <v>0</v>
      </c>
      <c r="AW216">
        <f t="shared" si="25"/>
        <v>0</v>
      </c>
      <c r="AX216">
        <f t="shared" si="26"/>
        <v>2</v>
      </c>
      <c r="AY216">
        <f t="shared" si="27"/>
        <v>0</v>
      </c>
      <c r="AZ216">
        <f t="shared" si="22"/>
        <v>2</v>
      </c>
    </row>
    <row r="217" spans="1:52" x14ac:dyDescent="0.2">
      <c r="A217">
        <v>216</v>
      </c>
      <c r="B217" t="s">
        <v>264</v>
      </c>
      <c r="C217">
        <v>0</v>
      </c>
      <c r="H217" t="s">
        <v>264</v>
      </c>
      <c r="I217" t="s">
        <v>158</v>
      </c>
      <c r="Q217" t="s">
        <v>264</v>
      </c>
      <c r="R217">
        <v>304.45778230000002</v>
      </c>
      <c r="S217">
        <v>6</v>
      </c>
      <c r="T217">
        <v>130</v>
      </c>
      <c r="V217">
        <v>0</v>
      </c>
      <c r="W217">
        <v>0</v>
      </c>
      <c r="X217" t="s">
        <v>264</v>
      </c>
      <c r="Y217">
        <v>-1</v>
      </c>
      <c r="Z217">
        <v>6</v>
      </c>
      <c r="AA217">
        <v>304.45999999999998</v>
      </c>
      <c r="AB217">
        <v>130</v>
      </c>
      <c r="AC217">
        <v>6.52</v>
      </c>
      <c r="AD217">
        <v>7.0000000000000007E-2</v>
      </c>
      <c r="AE217">
        <v>0</v>
      </c>
      <c r="AF217">
        <v>0.01</v>
      </c>
      <c r="AG217">
        <v>1</v>
      </c>
      <c r="AH217">
        <v>6.52</v>
      </c>
      <c r="AI217">
        <v>6.52</v>
      </c>
      <c r="AJ217">
        <v>6.52</v>
      </c>
      <c r="AK217">
        <v>7.0000000000000007E-2</v>
      </c>
      <c r="AL217">
        <v>7.0000000000000007E-2</v>
      </c>
      <c r="AM217">
        <v>7.0000000000000007E-2</v>
      </c>
      <c r="AN217">
        <v>0</v>
      </c>
      <c r="AO217">
        <v>0</v>
      </c>
      <c r="AP217">
        <v>0</v>
      </c>
      <c r="AQ217">
        <v>304.45778230000002</v>
      </c>
      <c r="AR217">
        <v>0</v>
      </c>
      <c r="AS217">
        <f>_xlfn.XLOOKUP(B217,InstallDate!$H$2:$H$389,InstallDate!$BE$2:$BE$389)</f>
        <v>0</v>
      </c>
      <c r="AT217">
        <f t="shared" si="23"/>
        <v>0</v>
      </c>
      <c r="AU217">
        <f t="shared" si="21"/>
        <v>5.2356861800369386E-2</v>
      </c>
      <c r="AV217">
        <f t="shared" si="24"/>
        <v>0</v>
      </c>
      <c r="AW217">
        <f t="shared" si="25"/>
        <v>0</v>
      </c>
      <c r="AX217">
        <f t="shared" si="26"/>
        <v>2</v>
      </c>
      <c r="AY217">
        <f t="shared" si="27"/>
        <v>0</v>
      </c>
      <c r="AZ217">
        <f t="shared" si="22"/>
        <v>2</v>
      </c>
    </row>
    <row r="218" spans="1:52" x14ac:dyDescent="0.2">
      <c r="A218">
        <v>217</v>
      </c>
      <c r="B218" t="s">
        <v>265</v>
      </c>
      <c r="C218">
        <v>0</v>
      </c>
      <c r="H218" t="s">
        <v>265</v>
      </c>
      <c r="I218" t="s">
        <v>158</v>
      </c>
      <c r="Q218" t="s">
        <v>265</v>
      </c>
      <c r="R218">
        <v>230.95738420000001</v>
      </c>
      <c r="S218">
        <v>8</v>
      </c>
      <c r="T218">
        <v>130</v>
      </c>
      <c r="V218">
        <v>0</v>
      </c>
      <c r="W218">
        <v>0</v>
      </c>
      <c r="X218" t="s">
        <v>265</v>
      </c>
      <c r="Y218">
        <v>-1</v>
      </c>
      <c r="Z218">
        <v>8</v>
      </c>
      <c r="AA218">
        <v>230.96</v>
      </c>
      <c r="AB218">
        <v>130</v>
      </c>
      <c r="AC218">
        <v>7.91</v>
      </c>
      <c r="AD218">
        <v>0.05</v>
      </c>
      <c r="AE218">
        <v>0</v>
      </c>
      <c r="AF218">
        <v>0</v>
      </c>
      <c r="AG218">
        <v>1</v>
      </c>
      <c r="AH218">
        <v>7.91</v>
      </c>
      <c r="AI218">
        <v>7.91</v>
      </c>
      <c r="AJ218">
        <v>7.91</v>
      </c>
      <c r="AK218">
        <v>0.05</v>
      </c>
      <c r="AL218">
        <v>0.05</v>
      </c>
      <c r="AM218">
        <v>0.05</v>
      </c>
      <c r="AN218">
        <v>0</v>
      </c>
      <c r="AO218">
        <v>0</v>
      </c>
      <c r="AP218">
        <v>0</v>
      </c>
      <c r="AQ218">
        <v>230.95738420000001</v>
      </c>
      <c r="AR218">
        <v>0</v>
      </c>
      <c r="AS218">
        <f>_xlfn.XLOOKUP(B218,InstallDate!$H$2:$H$389,InstallDate!$BE$2:$BE$389)</f>
        <v>0</v>
      </c>
      <c r="AT218">
        <f t="shared" si="23"/>
        <v>0</v>
      </c>
      <c r="AU218">
        <f t="shared" si="21"/>
        <v>6.3518830803822368E-2</v>
      </c>
      <c r="AV218">
        <f t="shared" si="24"/>
        <v>0</v>
      </c>
      <c r="AW218">
        <f t="shared" si="25"/>
        <v>0</v>
      </c>
      <c r="AX218">
        <f t="shared" si="26"/>
        <v>2</v>
      </c>
      <c r="AY218">
        <f t="shared" si="27"/>
        <v>0</v>
      </c>
      <c r="AZ218">
        <f t="shared" si="22"/>
        <v>2</v>
      </c>
    </row>
    <row r="219" spans="1:52" x14ac:dyDescent="0.2">
      <c r="A219">
        <v>218</v>
      </c>
      <c r="B219" t="s">
        <v>266</v>
      </c>
      <c r="C219">
        <v>0</v>
      </c>
      <c r="H219" t="s">
        <v>266</v>
      </c>
      <c r="I219" t="s">
        <v>158</v>
      </c>
      <c r="Q219" t="s">
        <v>266</v>
      </c>
      <c r="R219">
        <v>549.34847079999997</v>
      </c>
      <c r="S219">
        <v>8</v>
      </c>
      <c r="T219">
        <v>130</v>
      </c>
      <c r="V219">
        <v>0</v>
      </c>
      <c r="W219">
        <v>0</v>
      </c>
      <c r="X219" t="s">
        <v>266</v>
      </c>
      <c r="Y219">
        <v>-1</v>
      </c>
      <c r="Z219">
        <v>8</v>
      </c>
      <c r="AA219">
        <v>549.35</v>
      </c>
      <c r="AB219">
        <v>130</v>
      </c>
      <c r="AC219">
        <v>7.91</v>
      </c>
      <c r="AD219">
        <v>0.05</v>
      </c>
      <c r="AE219">
        <v>0</v>
      </c>
      <c r="AF219">
        <v>0</v>
      </c>
      <c r="AG219">
        <v>1</v>
      </c>
      <c r="AH219">
        <v>7.91</v>
      </c>
      <c r="AI219">
        <v>7.91</v>
      </c>
      <c r="AJ219">
        <v>7.91</v>
      </c>
      <c r="AK219">
        <v>0.05</v>
      </c>
      <c r="AL219">
        <v>0.05</v>
      </c>
      <c r="AM219">
        <v>0.05</v>
      </c>
      <c r="AN219">
        <v>0</v>
      </c>
      <c r="AO219">
        <v>0</v>
      </c>
      <c r="AP219">
        <v>0</v>
      </c>
      <c r="AQ219">
        <v>549.34847079999997</v>
      </c>
      <c r="AR219">
        <v>0</v>
      </c>
      <c r="AS219">
        <f>_xlfn.XLOOKUP(B219,InstallDate!$H$2:$H$389,InstallDate!$BE$2:$BE$389)</f>
        <v>0</v>
      </c>
      <c r="AT219">
        <f t="shared" si="23"/>
        <v>0</v>
      </c>
      <c r="AU219">
        <f t="shared" si="21"/>
        <v>6.3518830803822368E-2</v>
      </c>
      <c r="AV219">
        <f t="shared" si="24"/>
        <v>0</v>
      </c>
      <c r="AW219">
        <f t="shared" si="25"/>
        <v>0</v>
      </c>
      <c r="AX219">
        <f t="shared" si="26"/>
        <v>2</v>
      </c>
      <c r="AY219">
        <f t="shared" si="27"/>
        <v>0</v>
      </c>
      <c r="AZ219">
        <f t="shared" si="22"/>
        <v>2</v>
      </c>
    </row>
    <row r="220" spans="1:52" x14ac:dyDescent="0.2">
      <c r="A220">
        <v>219</v>
      </c>
      <c r="B220" t="s">
        <v>267</v>
      </c>
      <c r="C220">
        <v>0</v>
      </c>
      <c r="H220" t="s">
        <v>267</v>
      </c>
      <c r="I220" t="s">
        <v>158</v>
      </c>
      <c r="Q220" t="s">
        <v>267</v>
      </c>
      <c r="R220">
        <v>234.29801040000001</v>
      </c>
      <c r="S220">
        <v>8</v>
      </c>
      <c r="T220">
        <v>130</v>
      </c>
      <c r="V220">
        <v>0</v>
      </c>
      <c r="W220">
        <v>0</v>
      </c>
      <c r="X220" t="s">
        <v>267</v>
      </c>
      <c r="Y220">
        <v>-1</v>
      </c>
      <c r="Z220">
        <v>8</v>
      </c>
      <c r="AA220">
        <v>234.3</v>
      </c>
      <c r="AB220">
        <v>130</v>
      </c>
      <c r="AC220">
        <v>8.32</v>
      </c>
      <c r="AD220">
        <v>0.05</v>
      </c>
      <c r="AE220">
        <v>0</v>
      </c>
      <c r="AF220">
        <v>0</v>
      </c>
      <c r="AG220">
        <v>1</v>
      </c>
      <c r="AH220">
        <v>8.32</v>
      </c>
      <c r="AI220">
        <v>8.32</v>
      </c>
      <c r="AJ220">
        <v>8.32</v>
      </c>
      <c r="AK220">
        <v>0.05</v>
      </c>
      <c r="AL220">
        <v>0.05</v>
      </c>
      <c r="AM220">
        <v>0.05</v>
      </c>
      <c r="AN220">
        <v>0</v>
      </c>
      <c r="AO220">
        <v>0</v>
      </c>
      <c r="AP220">
        <v>0</v>
      </c>
      <c r="AQ220">
        <v>234.29801040000001</v>
      </c>
      <c r="AR220">
        <v>0</v>
      </c>
      <c r="AS220">
        <f>_xlfn.XLOOKUP(B220,InstallDate!$H$2:$H$389,InstallDate!$BE$2:$BE$389)</f>
        <v>0</v>
      </c>
      <c r="AT220">
        <f t="shared" si="23"/>
        <v>0</v>
      </c>
      <c r="AU220">
        <f t="shared" si="21"/>
        <v>6.6811210150164627E-2</v>
      </c>
      <c r="AV220">
        <f t="shared" si="24"/>
        <v>0</v>
      </c>
      <c r="AW220">
        <f t="shared" si="25"/>
        <v>0</v>
      </c>
      <c r="AX220">
        <f t="shared" si="26"/>
        <v>2</v>
      </c>
      <c r="AY220">
        <f t="shared" si="27"/>
        <v>0</v>
      </c>
      <c r="AZ220">
        <f t="shared" si="22"/>
        <v>2</v>
      </c>
    </row>
    <row r="221" spans="1:52" x14ac:dyDescent="0.2">
      <c r="A221">
        <v>220</v>
      </c>
      <c r="B221" t="s">
        <v>268</v>
      </c>
      <c r="C221">
        <v>0</v>
      </c>
      <c r="H221" t="s">
        <v>268</v>
      </c>
      <c r="I221" t="s">
        <v>158</v>
      </c>
      <c r="Q221" t="s">
        <v>268</v>
      </c>
      <c r="R221">
        <v>28.828413650000002</v>
      </c>
      <c r="S221">
        <v>8</v>
      </c>
      <c r="T221">
        <v>130</v>
      </c>
      <c r="V221">
        <v>0</v>
      </c>
      <c r="W221">
        <v>0</v>
      </c>
      <c r="X221" t="s">
        <v>268</v>
      </c>
      <c r="Y221">
        <v>-1</v>
      </c>
      <c r="Z221">
        <v>8</v>
      </c>
      <c r="AA221">
        <v>28.83</v>
      </c>
      <c r="AB221">
        <v>130</v>
      </c>
      <c r="AC221">
        <v>8.32</v>
      </c>
      <c r="AD221">
        <v>0.05</v>
      </c>
      <c r="AE221">
        <v>0</v>
      </c>
      <c r="AF221">
        <v>0</v>
      </c>
      <c r="AG221">
        <v>1</v>
      </c>
      <c r="AH221">
        <v>8.32</v>
      </c>
      <c r="AI221">
        <v>8.32</v>
      </c>
      <c r="AJ221">
        <v>8.32</v>
      </c>
      <c r="AK221">
        <v>0.05</v>
      </c>
      <c r="AL221">
        <v>0.05</v>
      </c>
      <c r="AM221">
        <v>0.05</v>
      </c>
      <c r="AN221">
        <v>0</v>
      </c>
      <c r="AO221">
        <v>0</v>
      </c>
      <c r="AP221">
        <v>0</v>
      </c>
      <c r="AQ221">
        <v>28.828413650000002</v>
      </c>
      <c r="AR221">
        <v>0</v>
      </c>
      <c r="AS221">
        <f>_xlfn.XLOOKUP(B221,InstallDate!$H$2:$H$389,InstallDate!$BE$2:$BE$389)</f>
        <v>0</v>
      </c>
      <c r="AT221">
        <f t="shared" si="23"/>
        <v>0</v>
      </c>
      <c r="AU221">
        <f t="shared" si="21"/>
        <v>6.6811210150164627E-2</v>
      </c>
      <c r="AV221">
        <f t="shared" si="24"/>
        <v>0</v>
      </c>
      <c r="AW221">
        <f t="shared" si="25"/>
        <v>0</v>
      </c>
      <c r="AX221">
        <f t="shared" si="26"/>
        <v>2</v>
      </c>
      <c r="AY221">
        <f t="shared" si="27"/>
        <v>0</v>
      </c>
      <c r="AZ221">
        <f t="shared" si="22"/>
        <v>2</v>
      </c>
    </row>
    <row r="222" spans="1:52" x14ac:dyDescent="0.2">
      <c r="A222">
        <v>221</v>
      </c>
      <c r="B222" t="s">
        <v>269</v>
      </c>
      <c r="C222">
        <v>0</v>
      </c>
      <c r="H222" t="s">
        <v>269</v>
      </c>
      <c r="I222" t="s">
        <v>158</v>
      </c>
      <c r="Q222" t="s">
        <v>269</v>
      </c>
      <c r="R222">
        <v>35.652243810000002</v>
      </c>
      <c r="S222">
        <v>6</v>
      </c>
      <c r="T222">
        <v>130</v>
      </c>
      <c r="V222">
        <v>0</v>
      </c>
      <c r="W222">
        <v>0</v>
      </c>
      <c r="X222" t="s">
        <v>269</v>
      </c>
      <c r="Y222">
        <v>1</v>
      </c>
      <c r="Z222">
        <v>6</v>
      </c>
      <c r="AA222">
        <v>35.65</v>
      </c>
      <c r="AB222">
        <v>130</v>
      </c>
      <c r="AC222">
        <v>0.56000000000000005</v>
      </c>
      <c r="AD222">
        <v>0.01</v>
      </c>
      <c r="AE222">
        <v>0</v>
      </c>
      <c r="AF222">
        <v>0</v>
      </c>
      <c r="AG222">
        <v>1</v>
      </c>
      <c r="AH222">
        <v>0.56000000000000005</v>
      </c>
      <c r="AI222">
        <v>0.56000000000000005</v>
      </c>
      <c r="AJ222">
        <v>0.56000000000000005</v>
      </c>
      <c r="AK222">
        <v>0.01</v>
      </c>
      <c r="AL222">
        <v>0.01</v>
      </c>
      <c r="AM222">
        <v>0.01</v>
      </c>
      <c r="AN222">
        <v>0</v>
      </c>
      <c r="AO222">
        <v>0</v>
      </c>
      <c r="AP222">
        <v>0</v>
      </c>
      <c r="AQ222">
        <v>35.652243810000002</v>
      </c>
      <c r="AR222">
        <v>0</v>
      </c>
      <c r="AS222">
        <f>_xlfn.XLOOKUP(B222,InstallDate!$H$2:$H$389,InstallDate!$BE$2:$BE$389)</f>
        <v>0</v>
      </c>
      <c r="AT222">
        <f t="shared" si="23"/>
        <v>0</v>
      </c>
      <c r="AU222">
        <f t="shared" si="21"/>
        <v>4.4969083754918494E-3</v>
      </c>
      <c r="AV222">
        <f t="shared" si="24"/>
        <v>0</v>
      </c>
      <c r="AW222">
        <f t="shared" si="25"/>
        <v>0</v>
      </c>
      <c r="AX222">
        <f t="shared" si="26"/>
        <v>0</v>
      </c>
      <c r="AY222">
        <f t="shared" si="27"/>
        <v>1</v>
      </c>
      <c r="AZ222">
        <f t="shared" si="22"/>
        <v>1</v>
      </c>
    </row>
    <row r="223" spans="1:52" x14ac:dyDescent="0.2">
      <c r="A223">
        <v>222</v>
      </c>
      <c r="B223" t="s">
        <v>270</v>
      </c>
      <c r="C223">
        <v>0</v>
      </c>
      <c r="H223" t="s">
        <v>270</v>
      </c>
      <c r="I223" t="s">
        <v>158</v>
      </c>
      <c r="Q223" t="s">
        <v>270</v>
      </c>
      <c r="R223">
        <v>800.79734840000003</v>
      </c>
      <c r="S223">
        <v>6</v>
      </c>
      <c r="T223">
        <v>130</v>
      </c>
      <c r="V223">
        <v>0</v>
      </c>
      <c r="W223">
        <v>0</v>
      </c>
      <c r="X223" t="s">
        <v>270</v>
      </c>
      <c r="Y223">
        <v>1</v>
      </c>
      <c r="Z223">
        <v>6</v>
      </c>
      <c r="AA223">
        <v>800.8</v>
      </c>
      <c r="AB223">
        <v>130</v>
      </c>
      <c r="AC223">
        <v>0.56000000000000005</v>
      </c>
      <c r="AD223">
        <v>0.01</v>
      </c>
      <c r="AE223">
        <v>0</v>
      </c>
      <c r="AF223">
        <v>0</v>
      </c>
      <c r="AG223">
        <v>1</v>
      </c>
      <c r="AH223">
        <v>0.56000000000000005</v>
      </c>
      <c r="AI223">
        <v>0.56000000000000005</v>
      </c>
      <c r="AJ223">
        <v>0.56000000000000005</v>
      </c>
      <c r="AK223">
        <v>0.01</v>
      </c>
      <c r="AL223">
        <v>0.01</v>
      </c>
      <c r="AM223">
        <v>0.01</v>
      </c>
      <c r="AN223">
        <v>0</v>
      </c>
      <c r="AO223">
        <v>0</v>
      </c>
      <c r="AP223">
        <v>0</v>
      </c>
      <c r="AQ223">
        <v>800.79734840000003</v>
      </c>
      <c r="AR223">
        <v>0</v>
      </c>
      <c r="AS223">
        <f>_xlfn.XLOOKUP(B223,InstallDate!$H$2:$H$389,InstallDate!$BE$2:$BE$389)</f>
        <v>0</v>
      </c>
      <c r="AT223">
        <f t="shared" si="23"/>
        <v>0</v>
      </c>
      <c r="AU223">
        <f t="shared" si="21"/>
        <v>4.4969083754918494E-3</v>
      </c>
      <c r="AV223">
        <f t="shared" si="24"/>
        <v>0</v>
      </c>
      <c r="AW223">
        <f t="shared" si="25"/>
        <v>0</v>
      </c>
      <c r="AX223">
        <f t="shared" si="26"/>
        <v>0</v>
      </c>
      <c r="AY223">
        <f t="shared" si="27"/>
        <v>1</v>
      </c>
      <c r="AZ223">
        <f t="shared" si="22"/>
        <v>1</v>
      </c>
    </row>
    <row r="224" spans="1:52" x14ac:dyDescent="0.2">
      <c r="A224">
        <v>223</v>
      </c>
      <c r="B224" t="s">
        <v>271</v>
      </c>
      <c r="C224">
        <v>0</v>
      </c>
      <c r="H224" t="s">
        <v>271</v>
      </c>
      <c r="I224" t="s">
        <v>158</v>
      </c>
      <c r="Q224" t="s">
        <v>271</v>
      </c>
      <c r="R224">
        <v>21.720769740000001</v>
      </c>
      <c r="S224">
        <v>6</v>
      </c>
      <c r="T224">
        <v>130</v>
      </c>
      <c r="V224">
        <v>0</v>
      </c>
      <c r="W224">
        <v>0</v>
      </c>
      <c r="X224" t="s">
        <v>271</v>
      </c>
      <c r="Y224">
        <v>-1</v>
      </c>
      <c r="Z224">
        <v>6</v>
      </c>
      <c r="AA224">
        <v>21.72</v>
      </c>
      <c r="AB224">
        <v>130</v>
      </c>
      <c r="AC224">
        <v>35.44</v>
      </c>
      <c r="AD224">
        <v>0.4</v>
      </c>
      <c r="AE224">
        <v>0</v>
      </c>
      <c r="AF224">
        <v>0.15</v>
      </c>
      <c r="AG224">
        <v>1</v>
      </c>
      <c r="AH224">
        <v>35.44</v>
      </c>
      <c r="AI224">
        <v>35.44</v>
      </c>
      <c r="AJ224">
        <v>35.44</v>
      </c>
      <c r="AK224">
        <v>0.4</v>
      </c>
      <c r="AL224">
        <v>0.4</v>
      </c>
      <c r="AM224">
        <v>0.4</v>
      </c>
      <c r="AN224">
        <v>0</v>
      </c>
      <c r="AO224">
        <v>0</v>
      </c>
      <c r="AP224">
        <v>0</v>
      </c>
      <c r="AQ224">
        <v>21.720769740000001</v>
      </c>
      <c r="AR224">
        <v>0</v>
      </c>
      <c r="AS224">
        <f>_xlfn.XLOOKUP(B224,InstallDate!$H$2:$H$389,InstallDate!$BE$2:$BE$389)</f>
        <v>1</v>
      </c>
      <c r="AT224">
        <f t="shared" si="23"/>
        <v>1</v>
      </c>
      <c r="AU224">
        <f t="shared" si="21"/>
        <v>0.28459005862041276</v>
      </c>
      <c r="AV224">
        <f t="shared" si="24"/>
        <v>4</v>
      </c>
      <c r="AW224">
        <f t="shared" si="25"/>
        <v>3</v>
      </c>
      <c r="AX224">
        <f t="shared" si="26"/>
        <v>2</v>
      </c>
      <c r="AY224">
        <f t="shared" si="27"/>
        <v>0</v>
      </c>
      <c r="AZ224">
        <f t="shared" si="22"/>
        <v>3</v>
      </c>
    </row>
    <row r="225" spans="1:52" x14ac:dyDescent="0.2">
      <c r="A225">
        <v>224</v>
      </c>
      <c r="B225" t="s">
        <v>272</v>
      </c>
      <c r="C225">
        <v>0</v>
      </c>
      <c r="H225" t="s">
        <v>272</v>
      </c>
      <c r="I225" t="s">
        <v>158</v>
      </c>
      <c r="Q225" t="s">
        <v>272</v>
      </c>
      <c r="R225">
        <v>351.30003369999997</v>
      </c>
      <c r="S225">
        <v>6</v>
      </c>
      <c r="T225">
        <v>130</v>
      </c>
      <c r="V225">
        <v>0</v>
      </c>
      <c r="W225">
        <v>0</v>
      </c>
      <c r="X225" t="s">
        <v>272</v>
      </c>
      <c r="Y225">
        <v>-1</v>
      </c>
      <c r="Z225">
        <v>6</v>
      </c>
      <c r="AA225">
        <v>351.3</v>
      </c>
      <c r="AB225">
        <v>130</v>
      </c>
      <c r="AC225">
        <v>35.44</v>
      </c>
      <c r="AD225">
        <v>0.4</v>
      </c>
      <c r="AE225">
        <v>0.05</v>
      </c>
      <c r="AF225">
        <v>0.15</v>
      </c>
      <c r="AG225">
        <v>1</v>
      </c>
      <c r="AH225">
        <v>35.44</v>
      </c>
      <c r="AI225">
        <v>35.44</v>
      </c>
      <c r="AJ225">
        <v>35.44</v>
      </c>
      <c r="AK225">
        <v>0.4</v>
      </c>
      <c r="AL225">
        <v>0.4</v>
      </c>
      <c r="AM225">
        <v>0.4</v>
      </c>
      <c r="AN225">
        <v>0.05</v>
      </c>
      <c r="AO225">
        <v>0.05</v>
      </c>
      <c r="AP225">
        <v>0.05</v>
      </c>
      <c r="AQ225">
        <v>351.30003369999997</v>
      </c>
      <c r="AR225">
        <v>0</v>
      </c>
      <c r="AS225">
        <f>_xlfn.XLOOKUP(B225,InstallDate!$H$2:$H$389,InstallDate!$BE$2:$BE$389)</f>
        <v>0</v>
      </c>
      <c r="AT225">
        <f t="shared" si="23"/>
        <v>0</v>
      </c>
      <c r="AU225">
        <f t="shared" si="21"/>
        <v>0.28459005862041276</v>
      </c>
      <c r="AV225">
        <f t="shared" si="24"/>
        <v>4</v>
      </c>
      <c r="AW225">
        <f t="shared" si="25"/>
        <v>3</v>
      </c>
      <c r="AX225">
        <f t="shared" si="26"/>
        <v>2</v>
      </c>
      <c r="AY225">
        <f t="shared" si="27"/>
        <v>0</v>
      </c>
      <c r="AZ225">
        <f t="shared" si="22"/>
        <v>2</v>
      </c>
    </row>
    <row r="226" spans="1:52" x14ac:dyDescent="0.2">
      <c r="A226">
        <v>225</v>
      </c>
      <c r="B226" t="s">
        <v>273</v>
      </c>
      <c r="C226">
        <v>0</v>
      </c>
      <c r="H226" t="s">
        <v>273</v>
      </c>
      <c r="I226" t="s">
        <v>158</v>
      </c>
      <c r="Q226" t="s">
        <v>273</v>
      </c>
      <c r="R226">
        <v>140.23393709999999</v>
      </c>
      <c r="S226">
        <v>6</v>
      </c>
      <c r="T226">
        <v>130</v>
      </c>
      <c r="V226">
        <v>0</v>
      </c>
      <c r="W226">
        <v>0</v>
      </c>
      <c r="X226" t="s">
        <v>273</v>
      </c>
      <c r="Y226">
        <v>-1</v>
      </c>
      <c r="Z226">
        <v>6</v>
      </c>
      <c r="AA226">
        <v>140.22999999999999</v>
      </c>
      <c r="AB226">
        <v>130</v>
      </c>
      <c r="AC226">
        <v>35.44</v>
      </c>
      <c r="AD226">
        <v>0.4</v>
      </c>
      <c r="AE226">
        <v>0.02</v>
      </c>
      <c r="AF226">
        <v>0.15</v>
      </c>
      <c r="AG226">
        <v>1</v>
      </c>
      <c r="AH226">
        <v>35.44</v>
      </c>
      <c r="AI226">
        <v>35.44</v>
      </c>
      <c r="AJ226">
        <v>35.44</v>
      </c>
      <c r="AK226">
        <v>0.4</v>
      </c>
      <c r="AL226">
        <v>0.4</v>
      </c>
      <c r="AM226">
        <v>0.4</v>
      </c>
      <c r="AN226">
        <v>0.02</v>
      </c>
      <c r="AO226">
        <v>0.02</v>
      </c>
      <c r="AP226">
        <v>0.02</v>
      </c>
      <c r="AQ226">
        <v>140.23393709999999</v>
      </c>
      <c r="AR226">
        <v>0</v>
      </c>
      <c r="AS226">
        <f>_xlfn.XLOOKUP(B226,InstallDate!$H$2:$H$389,InstallDate!$BE$2:$BE$389)</f>
        <v>1</v>
      </c>
      <c r="AT226">
        <f t="shared" si="23"/>
        <v>1</v>
      </c>
      <c r="AU226">
        <f t="shared" si="21"/>
        <v>0.28459005862041276</v>
      </c>
      <c r="AV226">
        <f t="shared" si="24"/>
        <v>4</v>
      </c>
      <c r="AW226">
        <f t="shared" si="25"/>
        <v>3</v>
      </c>
      <c r="AX226">
        <f t="shared" si="26"/>
        <v>2</v>
      </c>
      <c r="AY226">
        <f t="shared" si="27"/>
        <v>0</v>
      </c>
      <c r="AZ226">
        <f t="shared" si="22"/>
        <v>3</v>
      </c>
    </row>
    <row r="227" spans="1:52" x14ac:dyDescent="0.2">
      <c r="A227">
        <v>226</v>
      </c>
      <c r="B227" t="s">
        <v>274</v>
      </c>
      <c r="C227">
        <v>0</v>
      </c>
      <c r="H227" t="s">
        <v>274</v>
      </c>
      <c r="I227" t="s">
        <v>158</v>
      </c>
      <c r="Q227" t="s">
        <v>274</v>
      </c>
      <c r="R227">
        <v>268.68095959999999</v>
      </c>
      <c r="S227">
        <v>6</v>
      </c>
      <c r="T227">
        <v>130</v>
      </c>
      <c r="V227">
        <v>0</v>
      </c>
      <c r="W227">
        <v>0</v>
      </c>
      <c r="X227" t="s">
        <v>274</v>
      </c>
      <c r="Y227">
        <v>-1</v>
      </c>
      <c r="Z227">
        <v>6</v>
      </c>
      <c r="AA227">
        <v>268.68</v>
      </c>
      <c r="AB227">
        <v>130</v>
      </c>
      <c r="AC227">
        <v>35.44</v>
      </c>
      <c r="AD227">
        <v>0.4</v>
      </c>
      <c r="AE227">
        <v>0.04</v>
      </c>
      <c r="AF227">
        <v>0.15</v>
      </c>
      <c r="AG227">
        <v>1</v>
      </c>
      <c r="AH227">
        <v>35.44</v>
      </c>
      <c r="AI227">
        <v>35.44</v>
      </c>
      <c r="AJ227">
        <v>35.44</v>
      </c>
      <c r="AK227">
        <v>0.4</v>
      </c>
      <c r="AL227">
        <v>0.4</v>
      </c>
      <c r="AM227">
        <v>0.4</v>
      </c>
      <c r="AN227">
        <v>0.04</v>
      </c>
      <c r="AO227">
        <v>0.04</v>
      </c>
      <c r="AP227">
        <v>0.04</v>
      </c>
      <c r="AQ227">
        <v>268.68095959999999</v>
      </c>
      <c r="AR227">
        <v>0</v>
      </c>
      <c r="AS227">
        <f>_xlfn.XLOOKUP(B227,InstallDate!$H$2:$H$389,InstallDate!$BE$2:$BE$389)</f>
        <v>1</v>
      </c>
      <c r="AT227">
        <f t="shared" si="23"/>
        <v>1</v>
      </c>
      <c r="AU227">
        <f t="shared" si="21"/>
        <v>0.28459005862041276</v>
      </c>
      <c r="AV227">
        <f t="shared" si="24"/>
        <v>4</v>
      </c>
      <c r="AW227">
        <f t="shared" si="25"/>
        <v>3</v>
      </c>
      <c r="AX227">
        <f t="shared" si="26"/>
        <v>2</v>
      </c>
      <c r="AY227">
        <f t="shared" si="27"/>
        <v>0</v>
      </c>
      <c r="AZ227">
        <f t="shared" si="22"/>
        <v>3</v>
      </c>
    </row>
    <row r="228" spans="1:52" x14ac:dyDescent="0.2">
      <c r="A228">
        <v>227</v>
      </c>
      <c r="B228" t="s">
        <v>275</v>
      </c>
      <c r="C228">
        <v>0</v>
      </c>
      <c r="H228" t="s">
        <v>275</v>
      </c>
      <c r="I228" t="s">
        <v>158</v>
      </c>
      <c r="Q228" t="s">
        <v>275</v>
      </c>
      <c r="R228">
        <v>328.90214170000002</v>
      </c>
      <c r="S228">
        <v>6</v>
      </c>
      <c r="T228">
        <v>130</v>
      </c>
      <c r="V228">
        <v>0</v>
      </c>
      <c r="W228">
        <v>0</v>
      </c>
      <c r="X228" t="s">
        <v>275</v>
      </c>
      <c r="Y228">
        <v>-1</v>
      </c>
      <c r="Z228">
        <v>6</v>
      </c>
      <c r="AA228">
        <v>328.9</v>
      </c>
      <c r="AB228">
        <v>130</v>
      </c>
      <c r="AC228">
        <v>35.58</v>
      </c>
      <c r="AD228">
        <v>0.4</v>
      </c>
      <c r="AE228">
        <v>0.05</v>
      </c>
      <c r="AF228">
        <v>0.15</v>
      </c>
      <c r="AG228">
        <v>1</v>
      </c>
      <c r="AH228">
        <v>35.58</v>
      </c>
      <c r="AI228">
        <v>35.58</v>
      </c>
      <c r="AJ228">
        <v>35.58</v>
      </c>
      <c r="AK228">
        <v>0.4</v>
      </c>
      <c r="AL228">
        <v>0.4</v>
      </c>
      <c r="AM228">
        <v>0.4</v>
      </c>
      <c r="AN228">
        <v>0.05</v>
      </c>
      <c r="AO228">
        <v>0.05</v>
      </c>
      <c r="AP228">
        <v>0.05</v>
      </c>
      <c r="AQ228">
        <v>328.90214170000002</v>
      </c>
      <c r="AR228">
        <v>0</v>
      </c>
      <c r="AS228">
        <f>_xlfn.XLOOKUP(B228,InstallDate!$H$2:$H$389,InstallDate!$BE$2:$BE$389)</f>
        <v>0</v>
      </c>
      <c r="AT228">
        <f t="shared" si="23"/>
        <v>0</v>
      </c>
      <c r="AU228">
        <f t="shared" si="21"/>
        <v>0.2857142857142857</v>
      </c>
      <c r="AV228">
        <f t="shared" si="24"/>
        <v>4</v>
      </c>
      <c r="AW228">
        <f t="shared" si="25"/>
        <v>3</v>
      </c>
      <c r="AX228">
        <f t="shared" si="26"/>
        <v>2</v>
      </c>
      <c r="AY228">
        <f t="shared" si="27"/>
        <v>0</v>
      </c>
      <c r="AZ228">
        <f t="shared" si="22"/>
        <v>2</v>
      </c>
    </row>
    <row r="229" spans="1:52" x14ac:dyDescent="0.2">
      <c r="A229">
        <v>228</v>
      </c>
      <c r="B229" t="s">
        <v>276</v>
      </c>
      <c r="C229">
        <v>0</v>
      </c>
      <c r="H229" t="s">
        <v>276</v>
      </c>
      <c r="I229" t="s">
        <v>158</v>
      </c>
      <c r="Q229" t="s">
        <v>276</v>
      </c>
      <c r="R229">
        <v>111.16826500000001</v>
      </c>
      <c r="S229">
        <v>6</v>
      </c>
      <c r="T229">
        <v>130</v>
      </c>
      <c r="V229">
        <v>0</v>
      </c>
      <c r="W229">
        <v>0</v>
      </c>
      <c r="X229" t="s">
        <v>276</v>
      </c>
      <c r="Y229">
        <v>1</v>
      </c>
      <c r="Z229">
        <v>6</v>
      </c>
      <c r="AA229">
        <v>111.17</v>
      </c>
      <c r="AB229">
        <v>130</v>
      </c>
      <c r="AC229">
        <v>36.409999999999997</v>
      </c>
      <c r="AD229">
        <v>0.41</v>
      </c>
      <c r="AE229">
        <v>0.02</v>
      </c>
      <c r="AF229">
        <v>0.16</v>
      </c>
      <c r="AG229">
        <v>1</v>
      </c>
      <c r="AH229">
        <v>36.409999999999997</v>
      </c>
      <c r="AI229">
        <v>36.409999999999997</v>
      </c>
      <c r="AJ229">
        <v>36.409999999999997</v>
      </c>
      <c r="AK229">
        <v>0.41</v>
      </c>
      <c r="AL229">
        <v>0.41</v>
      </c>
      <c r="AM229">
        <v>0.41</v>
      </c>
      <c r="AN229">
        <v>0.02</v>
      </c>
      <c r="AO229">
        <v>0.02</v>
      </c>
      <c r="AP229">
        <v>0.02</v>
      </c>
      <c r="AQ229">
        <v>111.16826500000001</v>
      </c>
      <c r="AR229">
        <v>0</v>
      </c>
      <c r="AS229">
        <f>_xlfn.XLOOKUP(B229,InstallDate!$H$2:$H$389,InstallDate!$BE$2:$BE$389)</f>
        <v>0</v>
      </c>
      <c r="AT229">
        <f t="shared" si="23"/>
        <v>0</v>
      </c>
      <c r="AU229">
        <f t="shared" si="21"/>
        <v>0.29237934634224683</v>
      </c>
      <c r="AV229">
        <f t="shared" si="24"/>
        <v>4</v>
      </c>
      <c r="AW229">
        <f t="shared" si="25"/>
        <v>3</v>
      </c>
      <c r="AX229">
        <f t="shared" si="26"/>
        <v>2</v>
      </c>
      <c r="AY229">
        <f t="shared" si="27"/>
        <v>0</v>
      </c>
      <c r="AZ229">
        <f t="shared" si="22"/>
        <v>2</v>
      </c>
    </row>
    <row r="230" spans="1:52" x14ac:dyDescent="0.2">
      <c r="A230">
        <v>229</v>
      </c>
      <c r="B230" t="s">
        <v>277</v>
      </c>
      <c r="C230">
        <v>0</v>
      </c>
      <c r="H230" t="s">
        <v>277</v>
      </c>
      <c r="I230" t="s">
        <v>158</v>
      </c>
      <c r="Q230" t="s">
        <v>277</v>
      </c>
      <c r="R230">
        <v>261.77757880000001</v>
      </c>
      <c r="S230">
        <v>6</v>
      </c>
      <c r="T230">
        <v>130</v>
      </c>
      <c r="V230">
        <v>0</v>
      </c>
      <c r="W230">
        <v>0</v>
      </c>
      <c r="X230" t="s">
        <v>277</v>
      </c>
      <c r="Y230">
        <v>1</v>
      </c>
      <c r="Z230">
        <v>6</v>
      </c>
      <c r="AA230">
        <v>261.77999999999997</v>
      </c>
      <c r="AB230">
        <v>130</v>
      </c>
      <c r="AC230">
        <v>0.97</v>
      </c>
      <c r="AD230">
        <v>0.01</v>
      </c>
      <c r="AE230">
        <v>0</v>
      </c>
      <c r="AF230">
        <v>0</v>
      </c>
      <c r="AG230">
        <v>1</v>
      </c>
      <c r="AH230">
        <v>0.97</v>
      </c>
      <c r="AI230">
        <v>0.97</v>
      </c>
      <c r="AJ230">
        <v>0.97</v>
      </c>
      <c r="AK230">
        <v>0.01</v>
      </c>
      <c r="AL230">
        <v>0.01</v>
      </c>
      <c r="AM230">
        <v>0.01</v>
      </c>
      <c r="AN230">
        <v>0</v>
      </c>
      <c r="AO230">
        <v>0</v>
      </c>
      <c r="AP230">
        <v>0</v>
      </c>
      <c r="AQ230">
        <v>261.77757880000001</v>
      </c>
      <c r="AR230">
        <v>0</v>
      </c>
      <c r="AS230">
        <f>_xlfn.XLOOKUP(B230,InstallDate!$H$2:$H$389,InstallDate!$BE$2:$BE$389)</f>
        <v>0</v>
      </c>
      <c r="AT230">
        <f t="shared" si="23"/>
        <v>0</v>
      </c>
      <c r="AU230">
        <f t="shared" si="21"/>
        <v>7.7892877218340957E-3</v>
      </c>
      <c r="AV230">
        <f t="shared" si="24"/>
        <v>0</v>
      </c>
      <c r="AW230">
        <f t="shared" si="25"/>
        <v>0</v>
      </c>
      <c r="AX230">
        <f t="shared" si="26"/>
        <v>0</v>
      </c>
      <c r="AY230">
        <f t="shared" si="27"/>
        <v>1</v>
      </c>
      <c r="AZ230">
        <f t="shared" si="22"/>
        <v>1</v>
      </c>
    </row>
    <row r="231" spans="1:52" x14ac:dyDescent="0.2">
      <c r="A231">
        <v>230</v>
      </c>
      <c r="B231" t="s">
        <v>278</v>
      </c>
      <c r="C231">
        <v>0</v>
      </c>
      <c r="H231" t="s">
        <v>278</v>
      </c>
      <c r="I231" t="s">
        <v>158</v>
      </c>
      <c r="Q231" t="s">
        <v>278</v>
      </c>
      <c r="R231">
        <v>65.319209860000001</v>
      </c>
      <c r="S231">
        <v>6</v>
      </c>
      <c r="T231">
        <v>130</v>
      </c>
      <c r="V231">
        <v>0</v>
      </c>
      <c r="W231">
        <v>0</v>
      </c>
      <c r="X231" t="s">
        <v>278</v>
      </c>
      <c r="Y231">
        <v>1</v>
      </c>
      <c r="Z231">
        <v>6</v>
      </c>
      <c r="AA231">
        <v>65.319999999999993</v>
      </c>
      <c r="AB231">
        <v>130</v>
      </c>
      <c r="AC231">
        <v>0.69</v>
      </c>
      <c r="AD231">
        <v>0.01</v>
      </c>
      <c r="AE231">
        <v>0</v>
      </c>
      <c r="AF231">
        <v>0</v>
      </c>
      <c r="AG231">
        <v>1</v>
      </c>
      <c r="AH231">
        <v>0.69</v>
      </c>
      <c r="AI231">
        <v>0.69</v>
      </c>
      <c r="AJ231">
        <v>0.69</v>
      </c>
      <c r="AK231">
        <v>0.01</v>
      </c>
      <c r="AL231">
        <v>0.01</v>
      </c>
      <c r="AM231">
        <v>0.01</v>
      </c>
      <c r="AN231">
        <v>0</v>
      </c>
      <c r="AO231">
        <v>0</v>
      </c>
      <c r="AP231">
        <v>0</v>
      </c>
      <c r="AQ231">
        <v>65.319209860000001</v>
      </c>
      <c r="AR231">
        <v>0</v>
      </c>
      <c r="AS231">
        <f>_xlfn.XLOOKUP(B231,InstallDate!$H$2:$H$389,InstallDate!$BE$2:$BE$389)</f>
        <v>0</v>
      </c>
      <c r="AT231">
        <f t="shared" si="23"/>
        <v>0</v>
      </c>
      <c r="AU231">
        <f t="shared" si="21"/>
        <v>5.5408335340881715E-3</v>
      </c>
      <c r="AV231">
        <f t="shared" si="24"/>
        <v>0</v>
      </c>
      <c r="AW231">
        <f t="shared" si="25"/>
        <v>0</v>
      </c>
      <c r="AX231">
        <f t="shared" si="26"/>
        <v>0</v>
      </c>
      <c r="AY231">
        <f t="shared" si="27"/>
        <v>1</v>
      </c>
      <c r="AZ231">
        <f t="shared" si="22"/>
        <v>1</v>
      </c>
    </row>
    <row r="232" spans="1:52" x14ac:dyDescent="0.2">
      <c r="A232">
        <v>231</v>
      </c>
      <c r="B232" t="s">
        <v>279</v>
      </c>
      <c r="C232">
        <v>0</v>
      </c>
      <c r="H232" t="s">
        <v>279</v>
      </c>
      <c r="I232" t="s">
        <v>158</v>
      </c>
      <c r="Q232" t="s">
        <v>279</v>
      </c>
      <c r="R232">
        <v>519.24146189999999</v>
      </c>
      <c r="S232">
        <v>6</v>
      </c>
      <c r="T232">
        <v>130</v>
      </c>
      <c r="V232">
        <v>0</v>
      </c>
      <c r="W232">
        <v>0</v>
      </c>
      <c r="X232" t="s">
        <v>279</v>
      </c>
      <c r="Y232">
        <v>1</v>
      </c>
      <c r="Z232">
        <v>6</v>
      </c>
      <c r="AA232">
        <v>519.24</v>
      </c>
      <c r="AB232">
        <v>130</v>
      </c>
      <c r="AC232">
        <v>0.69</v>
      </c>
      <c r="AD232">
        <v>0.01</v>
      </c>
      <c r="AE232">
        <v>0</v>
      </c>
      <c r="AF232">
        <v>0</v>
      </c>
      <c r="AG232">
        <v>1</v>
      </c>
      <c r="AH232">
        <v>0.69</v>
      </c>
      <c r="AI232">
        <v>0.69</v>
      </c>
      <c r="AJ232">
        <v>0.69</v>
      </c>
      <c r="AK232">
        <v>0.01</v>
      </c>
      <c r="AL232">
        <v>0.01</v>
      </c>
      <c r="AM232">
        <v>0.01</v>
      </c>
      <c r="AN232">
        <v>0</v>
      </c>
      <c r="AO232">
        <v>0</v>
      </c>
      <c r="AP232">
        <v>0</v>
      </c>
      <c r="AQ232">
        <v>519.24146189999999</v>
      </c>
      <c r="AR232">
        <v>0</v>
      </c>
      <c r="AS232">
        <f>_xlfn.XLOOKUP(B232,InstallDate!$H$2:$H$389,InstallDate!$BE$2:$BE$389)</f>
        <v>0</v>
      </c>
      <c r="AT232">
        <f t="shared" si="23"/>
        <v>0</v>
      </c>
      <c r="AU232">
        <f t="shared" si="21"/>
        <v>5.5408335340881715E-3</v>
      </c>
      <c r="AV232">
        <f t="shared" si="24"/>
        <v>0</v>
      </c>
      <c r="AW232">
        <f t="shared" si="25"/>
        <v>0</v>
      </c>
      <c r="AX232">
        <f t="shared" si="26"/>
        <v>0</v>
      </c>
      <c r="AY232">
        <f t="shared" si="27"/>
        <v>1</v>
      </c>
      <c r="AZ232">
        <f t="shared" si="22"/>
        <v>1</v>
      </c>
    </row>
    <row r="233" spans="1:52" x14ac:dyDescent="0.2">
      <c r="A233">
        <v>232</v>
      </c>
      <c r="B233" t="s">
        <v>280</v>
      </c>
      <c r="C233">
        <v>0</v>
      </c>
      <c r="H233" t="s">
        <v>280</v>
      </c>
      <c r="I233" t="s">
        <v>146</v>
      </c>
      <c r="Q233" t="s">
        <v>280</v>
      </c>
      <c r="R233">
        <v>614.26249759999996</v>
      </c>
      <c r="S233">
        <v>6</v>
      </c>
      <c r="T233">
        <v>130</v>
      </c>
      <c r="V233">
        <v>0</v>
      </c>
      <c r="W233">
        <v>0</v>
      </c>
      <c r="X233" t="s">
        <v>280</v>
      </c>
      <c r="Y233">
        <v>1</v>
      </c>
      <c r="Z233">
        <v>6</v>
      </c>
      <c r="AA233">
        <v>614.26</v>
      </c>
      <c r="AB233">
        <v>130</v>
      </c>
      <c r="AC233">
        <v>0.69</v>
      </c>
      <c r="AD233">
        <v>0.01</v>
      </c>
      <c r="AE233">
        <v>0</v>
      </c>
      <c r="AF233">
        <v>0</v>
      </c>
      <c r="AG233">
        <v>1</v>
      </c>
      <c r="AH233">
        <v>0.69</v>
      </c>
      <c r="AI233">
        <v>0.69</v>
      </c>
      <c r="AJ233">
        <v>0.69</v>
      </c>
      <c r="AK233">
        <v>0.01</v>
      </c>
      <c r="AL233">
        <v>0.01</v>
      </c>
      <c r="AM233">
        <v>0.01</v>
      </c>
      <c r="AN233">
        <v>0</v>
      </c>
      <c r="AO233">
        <v>0</v>
      </c>
      <c r="AP233">
        <v>0</v>
      </c>
      <c r="AQ233">
        <v>614.26249759999996</v>
      </c>
      <c r="AR233">
        <v>0</v>
      </c>
      <c r="AS233">
        <f>_xlfn.XLOOKUP(B233,InstallDate!$H$2:$H$389,InstallDate!$BE$2:$BE$389)</f>
        <v>0</v>
      </c>
      <c r="AT233">
        <f t="shared" si="23"/>
        <v>0</v>
      </c>
      <c r="AU233">
        <f t="shared" si="21"/>
        <v>5.5408335340881715E-3</v>
      </c>
      <c r="AV233">
        <f t="shared" si="24"/>
        <v>0</v>
      </c>
      <c r="AW233">
        <f t="shared" si="25"/>
        <v>0</v>
      </c>
      <c r="AX233">
        <f t="shared" si="26"/>
        <v>0</v>
      </c>
      <c r="AY233">
        <f t="shared" si="27"/>
        <v>1</v>
      </c>
      <c r="AZ233">
        <f t="shared" si="22"/>
        <v>1</v>
      </c>
    </row>
    <row r="234" spans="1:52" x14ac:dyDescent="0.2">
      <c r="A234">
        <v>233</v>
      </c>
      <c r="B234" t="s">
        <v>281</v>
      </c>
      <c r="C234">
        <v>0</v>
      </c>
      <c r="H234" t="s">
        <v>281</v>
      </c>
      <c r="I234" t="s">
        <v>146</v>
      </c>
      <c r="Q234" t="s">
        <v>281</v>
      </c>
      <c r="R234">
        <v>43.252130999999999</v>
      </c>
      <c r="S234">
        <v>6</v>
      </c>
      <c r="T234">
        <v>130</v>
      </c>
      <c r="V234">
        <v>0</v>
      </c>
      <c r="W234">
        <v>0</v>
      </c>
      <c r="X234" t="s">
        <v>281</v>
      </c>
      <c r="Y234">
        <v>1</v>
      </c>
      <c r="Z234">
        <v>6</v>
      </c>
      <c r="AA234">
        <v>43.25</v>
      </c>
      <c r="AB234">
        <v>130</v>
      </c>
      <c r="AC234">
        <v>0.69</v>
      </c>
      <c r="AD234">
        <v>0.01</v>
      </c>
      <c r="AE234">
        <v>0</v>
      </c>
      <c r="AF234">
        <v>0</v>
      </c>
      <c r="AG234">
        <v>1</v>
      </c>
      <c r="AH234">
        <v>0.69</v>
      </c>
      <c r="AI234">
        <v>0.69</v>
      </c>
      <c r="AJ234">
        <v>0.69</v>
      </c>
      <c r="AK234">
        <v>0.01</v>
      </c>
      <c r="AL234">
        <v>0.01</v>
      </c>
      <c r="AM234">
        <v>0.01</v>
      </c>
      <c r="AN234">
        <v>0</v>
      </c>
      <c r="AO234">
        <v>0</v>
      </c>
      <c r="AP234">
        <v>0</v>
      </c>
      <c r="AQ234">
        <v>43.252130999999999</v>
      </c>
      <c r="AR234">
        <v>0</v>
      </c>
      <c r="AS234">
        <f>_xlfn.XLOOKUP(B234,InstallDate!$H$2:$H$389,InstallDate!$BE$2:$BE$389)</f>
        <v>0</v>
      </c>
      <c r="AT234">
        <f t="shared" si="23"/>
        <v>0</v>
      </c>
      <c r="AU234">
        <f t="shared" si="21"/>
        <v>5.5408335340881715E-3</v>
      </c>
      <c r="AV234">
        <f t="shared" si="24"/>
        <v>0</v>
      </c>
      <c r="AW234">
        <f t="shared" si="25"/>
        <v>0</v>
      </c>
      <c r="AX234">
        <f t="shared" si="26"/>
        <v>0</v>
      </c>
      <c r="AY234">
        <f t="shared" si="27"/>
        <v>1</v>
      </c>
      <c r="AZ234">
        <f t="shared" si="22"/>
        <v>1</v>
      </c>
    </row>
    <row r="235" spans="1:52" x14ac:dyDescent="0.2">
      <c r="A235">
        <v>234</v>
      </c>
      <c r="B235" t="s">
        <v>282</v>
      </c>
      <c r="C235">
        <v>0</v>
      </c>
      <c r="H235" t="s">
        <v>282</v>
      </c>
      <c r="I235" t="s">
        <v>146</v>
      </c>
      <c r="Q235" t="s">
        <v>282</v>
      </c>
      <c r="R235">
        <v>24.76114381</v>
      </c>
      <c r="S235">
        <v>6</v>
      </c>
      <c r="T235">
        <v>130</v>
      </c>
      <c r="V235">
        <v>0</v>
      </c>
      <c r="W235">
        <v>0</v>
      </c>
      <c r="X235" t="s">
        <v>282</v>
      </c>
      <c r="Y235">
        <v>1</v>
      </c>
      <c r="Z235">
        <v>6</v>
      </c>
      <c r="AA235">
        <v>24.76</v>
      </c>
      <c r="AB235">
        <v>130</v>
      </c>
      <c r="AC235">
        <v>23.26</v>
      </c>
      <c r="AD235">
        <v>0.26</v>
      </c>
      <c r="AE235">
        <v>0</v>
      </c>
      <c r="AF235">
        <v>7.0000000000000007E-2</v>
      </c>
      <c r="AG235">
        <v>1</v>
      </c>
      <c r="AH235">
        <v>23.26</v>
      </c>
      <c r="AI235">
        <v>23.26</v>
      </c>
      <c r="AJ235">
        <v>23.26</v>
      </c>
      <c r="AK235">
        <v>0.26</v>
      </c>
      <c r="AL235">
        <v>0.26</v>
      </c>
      <c r="AM235">
        <v>0.26</v>
      </c>
      <c r="AN235">
        <v>0</v>
      </c>
      <c r="AO235">
        <v>0</v>
      </c>
      <c r="AP235">
        <v>0</v>
      </c>
      <c r="AQ235">
        <v>24.76114381</v>
      </c>
      <c r="AR235">
        <v>1</v>
      </c>
      <c r="AS235">
        <f>_xlfn.XLOOKUP(B235,InstallDate!$H$2:$H$389,InstallDate!$BE$2:$BE$389)</f>
        <v>1</v>
      </c>
      <c r="AT235">
        <f t="shared" si="23"/>
        <v>1</v>
      </c>
      <c r="AU235">
        <f t="shared" si="21"/>
        <v>0.18678230145346503</v>
      </c>
      <c r="AV235">
        <f t="shared" si="24"/>
        <v>0</v>
      </c>
      <c r="AW235">
        <f t="shared" si="25"/>
        <v>3</v>
      </c>
      <c r="AX235">
        <f t="shared" si="26"/>
        <v>2</v>
      </c>
      <c r="AY235">
        <f t="shared" si="27"/>
        <v>0</v>
      </c>
      <c r="AZ235">
        <f t="shared" si="22"/>
        <v>3</v>
      </c>
    </row>
    <row r="236" spans="1:52" x14ac:dyDescent="0.2">
      <c r="A236">
        <v>235</v>
      </c>
      <c r="B236" t="s">
        <v>283</v>
      </c>
      <c r="C236">
        <v>0</v>
      </c>
      <c r="H236" t="s">
        <v>283</v>
      </c>
      <c r="I236" t="s">
        <v>146</v>
      </c>
      <c r="Q236" t="s">
        <v>283</v>
      </c>
      <c r="R236">
        <v>1193.7274669999999</v>
      </c>
      <c r="S236">
        <v>6</v>
      </c>
      <c r="T236">
        <v>130</v>
      </c>
      <c r="V236">
        <v>0</v>
      </c>
      <c r="W236">
        <v>0</v>
      </c>
      <c r="X236" t="s">
        <v>283</v>
      </c>
      <c r="Y236">
        <v>1</v>
      </c>
      <c r="Z236">
        <v>6</v>
      </c>
      <c r="AA236">
        <v>1193.73</v>
      </c>
      <c r="AB236">
        <v>130</v>
      </c>
      <c r="AC236">
        <v>23.26</v>
      </c>
      <c r="AD236">
        <v>0.26</v>
      </c>
      <c r="AE236">
        <v>0.08</v>
      </c>
      <c r="AF236">
        <v>7.0000000000000007E-2</v>
      </c>
      <c r="AG236">
        <v>1</v>
      </c>
      <c r="AH236">
        <v>23.26</v>
      </c>
      <c r="AI236">
        <v>23.26</v>
      </c>
      <c r="AJ236">
        <v>23.26</v>
      </c>
      <c r="AK236">
        <v>0.26</v>
      </c>
      <c r="AL236">
        <v>0.26</v>
      </c>
      <c r="AM236">
        <v>0.26</v>
      </c>
      <c r="AN236">
        <v>0.08</v>
      </c>
      <c r="AO236">
        <v>0.08</v>
      </c>
      <c r="AP236">
        <v>0.08</v>
      </c>
      <c r="AQ236">
        <v>1193.7274669999999</v>
      </c>
      <c r="AR236">
        <v>0</v>
      </c>
      <c r="AS236">
        <f>_xlfn.XLOOKUP(B236,InstallDate!$H$2:$H$389,InstallDate!$BE$2:$BE$389)</f>
        <v>0</v>
      </c>
      <c r="AT236">
        <f t="shared" si="23"/>
        <v>0</v>
      </c>
      <c r="AU236">
        <f t="shared" si="21"/>
        <v>0.18678230145346503</v>
      </c>
      <c r="AV236">
        <f t="shared" si="24"/>
        <v>0</v>
      </c>
      <c r="AW236">
        <f t="shared" si="25"/>
        <v>3</v>
      </c>
      <c r="AX236">
        <f t="shared" si="26"/>
        <v>2</v>
      </c>
      <c r="AY236">
        <f t="shared" si="27"/>
        <v>0</v>
      </c>
      <c r="AZ236">
        <f t="shared" si="22"/>
        <v>2</v>
      </c>
    </row>
    <row r="237" spans="1:52" x14ac:dyDescent="0.2">
      <c r="A237">
        <v>236</v>
      </c>
      <c r="B237" t="s">
        <v>284</v>
      </c>
      <c r="C237">
        <v>0</v>
      </c>
      <c r="H237" t="s">
        <v>284</v>
      </c>
      <c r="I237" t="s">
        <v>146</v>
      </c>
      <c r="Q237" t="s">
        <v>284</v>
      </c>
      <c r="R237">
        <v>967.53173800000002</v>
      </c>
      <c r="S237">
        <v>6</v>
      </c>
      <c r="T237">
        <v>130</v>
      </c>
      <c r="V237">
        <v>0</v>
      </c>
      <c r="W237">
        <v>0</v>
      </c>
      <c r="X237" t="s">
        <v>284</v>
      </c>
      <c r="Y237">
        <v>1</v>
      </c>
      <c r="Z237">
        <v>6</v>
      </c>
      <c r="AA237">
        <v>967.53</v>
      </c>
      <c r="AB237">
        <v>130</v>
      </c>
      <c r="AC237">
        <v>23.26</v>
      </c>
      <c r="AD237">
        <v>0.26</v>
      </c>
      <c r="AE237">
        <v>7.0000000000000007E-2</v>
      </c>
      <c r="AF237">
        <v>7.0000000000000007E-2</v>
      </c>
      <c r="AG237">
        <v>1</v>
      </c>
      <c r="AH237">
        <v>23.26</v>
      </c>
      <c r="AI237">
        <v>23.26</v>
      </c>
      <c r="AJ237">
        <v>23.26</v>
      </c>
      <c r="AK237">
        <v>0.26</v>
      </c>
      <c r="AL237">
        <v>0.26</v>
      </c>
      <c r="AM237">
        <v>0.26</v>
      </c>
      <c r="AN237">
        <v>7.0000000000000007E-2</v>
      </c>
      <c r="AO237">
        <v>7.0000000000000007E-2</v>
      </c>
      <c r="AP237">
        <v>7.0000000000000007E-2</v>
      </c>
      <c r="AQ237">
        <v>967.53173800000002</v>
      </c>
      <c r="AR237">
        <v>0</v>
      </c>
      <c r="AS237">
        <f>_xlfn.XLOOKUP(B237,InstallDate!$H$2:$H$389,InstallDate!$BE$2:$BE$389)</f>
        <v>0</v>
      </c>
      <c r="AT237">
        <f t="shared" si="23"/>
        <v>0</v>
      </c>
      <c r="AU237">
        <f t="shared" si="21"/>
        <v>0.18678230145346503</v>
      </c>
      <c r="AV237">
        <f t="shared" si="24"/>
        <v>0</v>
      </c>
      <c r="AW237">
        <f t="shared" si="25"/>
        <v>3</v>
      </c>
      <c r="AX237">
        <f t="shared" si="26"/>
        <v>2</v>
      </c>
      <c r="AY237">
        <f t="shared" si="27"/>
        <v>0</v>
      </c>
      <c r="AZ237">
        <f t="shared" si="22"/>
        <v>2</v>
      </c>
    </row>
    <row r="238" spans="1:52" x14ac:dyDescent="0.2">
      <c r="A238">
        <v>237</v>
      </c>
      <c r="B238" t="s">
        <v>285</v>
      </c>
      <c r="C238">
        <v>0</v>
      </c>
      <c r="H238" t="s">
        <v>285</v>
      </c>
      <c r="I238" t="s">
        <v>146</v>
      </c>
      <c r="Q238" t="s">
        <v>285</v>
      </c>
      <c r="R238">
        <v>33.308041430000003</v>
      </c>
      <c r="S238">
        <v>6</v>
      </c>
      <c r="T238">
        <v>130</v>
      </c>
      <c r="V238">
        <v>0</v>
      </c>
      <c r="W238">
        <v>0</v>
      </c>
      <c r="X238" t="s">
        <v>285</v>
      </c>
      <c r="Y238">
        <v>1</v>
      </c>
      <c r="Z238">
        <v>6</v>
      </c>
      <c r="AA238">
        <v>33.31</v>
      </c>
      <c r="AB238">
        <v>130</v>
      </c>
      <c r="AC238">
        <v>23.26</v>
      </c>
      <c r="AD238">
        <v>0.26</v>
      </c>
      <c r="AE238">
        <v>0</v>
      </c>
      <c r="AF238">
        <v>7.0000000000000007E-2</v>
      </c>
      <c r="AG238">
        <v>1</v>
      </c>
      <c r="AH238">
        <v>23.26</v>
      </c>
      <c r="AI238">
        <v>23.26</v>
      </c>
      <c r="AJ238">
        <v>23.26</v>
      </c>
      <c r="AK238">
        <v>0.26</v>
      </c>
      <c r="AL238">
        <v>0.26</v>
      </c>
      <c r="AM238">
        <v>0.26</v>
      </c>
      <c r="AN238">
        <v>0</v>
      </c>
      <c r="AO238">
        <v>0</v>
      </c>
      <c r="AP238">
        <v>0</v>
      </c>
      <c r="AQ238">
        <v>33.308041430000003</v>
      </c>
      <c r="AR238">
        <v>0</v>
      </c>
      <c r="AS238">
        <f>_xlfn.XLOOKUP(B238,InstallDate!$H$2:$H$389,InstallDate!$BE$2:$BE$389)</f>
        <v>0</v>
      </c>
      <c r="AT238">
        <f t="shared" si="23"/>
        <v>0</v>
      </c>
      <c r="AU238">
        <f t="shared" si="21"/>
        <v>0.18678230145346503</v>
      </c>
      <c r="AV238">
        <f t="shared" si="24"/>
        <v>0</v>
      </c>
      <c r="AW238">
        <f t="shared" si="25"/>
        <v>3</v>
      </c>
      <c r="AX238">
        <f t="shared" si="26"/>
        <v>2</v>
      </c>
      <c r="AY238">
        <f t="shared" si="27"/>
        <v>0</v>
      </c>
      <c r="AZ238">
        <f t="shared" si="22"/>
        <v>2</v>
      </c>
    </row>
    <row r="239" spans="1:52" x14ac:dyDescent="0.2">
      <c r="A239">
        <v>238</v>
      </c>
      <c r="B239" t="s">
        <v>286</v>
      </c>
      <c r="C239">
        <v>0</v>
      </c>
      <c r="H239" t="s">
        <v>286</v>
      </c>
      <c r="I239" t="s">
        <v>146</v>
      </c>
      <c r="Q239" t="s">
        <v>286</v>
      </c>
      <c r="R239">
        <v>228.6380628</v>
      </c>
      <c r="S239">
        <v>6</v>
      </c>
      <c r="T239">
        <v>130</v>
      </c>
      <c r="V239">
        <v>0</v>
      </c>
      <c r="W239">
        <v>0</v>
      </c>
      <c r="X239" t="s">
        <v>286</v>
      </c>
      <c r="Y239">
        <v>-1</v>
      </c>
      <c r="Z239">
        <v>6</v>
      </c>
      <c r="AA239">
        <v>228.64</v>
      </c>
      <c r="AB239">
        <v>130</v>
      </c>
      <c r="AC239">
        <v>28.5</v>
      </c>
      <c r="AD239">
        <v>0.32</v>
      </c>
      <c r="AE239">
        <v>0.02</v>
      </c>
      <c r="AF239">
        <v>0.1</v>
      </c>
      <c r="AG239">
        <v>1</v>
      </c>
      <c r="AH239">
        <v>28.5</v>
      </c>
      <c r="AI239">
        <v>28.5</v>
      </c>
      <c r="AJ239">
        <v>28.5</v>
      </c>
      <c r="AK239">
        <v>0.32</v>
      </c>
      <c r="AL239">
        <v>0.32</v>
      </c>
      <c r="AM239">
        <v>0.32</v>
      </c>
      <c r="AN239">
        <v>0.02</v>
      </c>
      <c r="AO239">
        <v>0.02</v>
      </c>
      <c r="AP239">
        <v>0.02</v>
      </c>
      <c r="AQ239">
        <v>228.6380628</v>
      </c>
      <c r="AR239">
        <v>0</v>
      </c>
      <c r="AS239">
        <f>_xlfn.XLOOKUP(B239,InstallDate!$H$2:$H$389,InstallDate!$BE$2:$BE$389)</f>
        <v>0</v>
      </c>
      <c r="AT239">
        <f t="shared" si="23"/>
        <v>0</v>
      </c>
      <c r="AU239">
        <f t="shared" si="21"/>
        <v>0.22886051553842449</v>
      </c>
      <c r="AV239">
        <f t="shared" si="24"/>
        <v>0</v>
      </c>
      <c r="AW239">
        <f t="shared" si="25"/>
        <v>3</v>
      </c>
      <c r="AX239">
        <f t="shared" si="26"/>
        <v>2</v>
      </c>
      <c r="AY239">
        <f t="shared" si="27"/>
        <v>0</v>
      </c>
      <c r="AZ239">
        <f t="shared" si="22"/>
        <v>2</v>
      </c>
    </row>
    <row r="240" spans="1:52" x14ac:dyDescent="0.2">
      <c r="A240">
        <v>239</v>
      </c>
      <c r="B240" t="s">
        <v>287</v>
      </c>
      <c r="C240">
        <v>0</v>
      </c>
      <c r="H240" t="s">
        <v>287</v>
      </c>
      <c r="I240" t="s">
        <v>146</v>
      </c>
      <c r="Q240" t="s">
        <v>287</v>
      </c>
      <c r="R240">
        <v>62.34762834</v>
      </c>
      <c r="S240">
        <v>6</v>
      </c>
      <c r="T240">
        <v>130</v>
      </c>
      <c r="V240">
        <v>0</v>
      </c>
      <c r="W240">
        <v>0</v>
      </c>
      <c r="X240" t="s">
        <v>287</v>
      </c>
      <c r="Y240">
        <v>-1</v>
      </c>
      <c r="Z240">
        <v>6</v>
      </c>
      <c r="AA240">
        <v>62.35</v>
      </c>
      <c r="AB240">
        <v>130</v>
      </c>
      <c r="AC240">
        <v>6.64</v>
      </c>
      <c r="AD240">
        <v>0.08</v>
      </c>
      <c r="AE240">
        <v>0</v>
      </c>
      <c r="AF240">
        <v>0.01</v>
      </c>
      <c r="AG240">
        <v>1</v>
      </c>
      <c r="AH240">
        <v>6.64</v>
      </c>
      <c r="AI240">
        <v>6.64</v>
      </c>
      <c r="AJ240">
        <v>6.64</v>
      </c>
      <c r="AK240">
        <v>0.08</v>
      </c>
      <c r="AL240">
        <v>0.08</v>
      </c>
      <c r="AM240">
        <v>0.08</v>
      </c>
      <c r="AN240">
        <v>0</v>
      </c>
      <c r="AO240">
        <v>0</v>
      </c>
      <c r="AP240">
        <v>0</v>
      </c>
      <c r="AQ240">
        <v>62.34762834</v>
      </c>
      <c r="AR240">
        <v>0</v>
      </c>
      <c r="AS240">
        <f>_xlfn.XLOOKUP(B240,InstallDate!$H$2:$H$389,InstallDate!$BE$2:$BE$389)</f>
        <v>0</v>
      </c>
      <c r="AT240">
        <f t="shared" si="23"/>
        <v>0</v>
      </c>
      <c r="AU240">
        <f t="shared" si="21"/>
        <v>5.3320485023689065E-2</v>
      </c>
      <c r="AV240">
        <f t="shared" si="24"/>
        <v>0</v>
      </c>
      <c r="AW240">
        <f t="shared" si="25"/>
        <v>0</v>
      </c>
      <c r="AX240">
        <f t="shared" si="26"/>
        <v>2</v>
      </c>
      <c r="AY240">
        <f t="shared" si="27"/>
        <v>0</v>
      </c>
      <c r="AZ240">
        <f t="shared" si="22"/>
        <v>2</v>
      </c>
    </row>
    <row r="241" spans="1:52" x14ac:dyDescent="0.2">
      <c r="A241">
        <v>240</v>
      </c>
      <c r="B241" t="s">
        <v>288</v>
      </c>
      <c r="C241">
        <v>0</v>
      </c>
      <c r="H241" t="s">
        <v>288</v>
      </c>
      <c r="I241" t="s">
        <v>146</v>
      </c>
      <c r="Q241" t="s">
        <v>288</v>
      </c>
      <c r="R241">
        <v>528.52729450000004</v>
      </c>
      <c r="S241">
        <v>6</v>
      </c>
      <c r="T241">
        <v>130</v>
      </c>
      <c r="V241">
        <v>0</v>
      </c>
      <c r="W241">
        <v>0</v>
      </c>
      <c r="X241" t="s">
        <v>288</v>
      </c>
      <c r="Y241">
        <v>-1</v>
      </c>
      <c r="Z241">
        <v>6</v>
      </c>
      <c r="AA241">
        <v>528.53</v>
      </c>
      <c r="AB241">
        <v>130</v>
      </c>
      <c r="AC241">
        <v>6.78</v>
      </c>
      <c r="AD241">
        <v>0.08</v>
      </c>
      <c r="AE241">
        <v>0</v>
      </c>
      <c r="AF241">
        <v>0.01</v>
      </c>
      <c r="AG241">
        <v>1</v>
      </c>
      <c r="AH241">
        <v>6.78</v>
      </c>
      <c r="AI241">
        <v>6.78</v>
      </c>
      <c r="AJ241">
        <v>6.78</v>
      </c>
      <c r="AK241">
        <v>0.08</v>
      </c>
      <c r="AL241">
        <v>0.08</v>
      </c>
      <c r="AM241">
        <v>0.08</v>
      </c>
      <c r="AN241">
        <v>0</v>
      </c>
      <c r="AO241">
        <v>0</v>
      </c>
      <c r="AP241">
        <v>0</v>
      </c>
      <c r="AQ241">
        <v>528.52729450000004</v>
      </c>
      <c r="AR241">
        <v>0</v>
      </c>
      <c r="AS241">
        <f>_xlfn.XLOOKUP(B241,InstallDate!$H$2:$H$389,InstallDate!$BE$2:$BE$389)</f>
        <v>0</v>
      </c>
      <c r="AT241">
        <f t="shared" si="23"/>
        <v>0</v>
      </c>
      <c r="AU241">
        <f t="shared" si="21"/>
        <v>5.4444712117562036E-2</v>
      </c>
      <c r="AV241">
        <f t="shared" si="24"/>
        <v>0</v>
      </c>
      <c r="AW241">
        <f t="shared" si="25"/>
        <v>0</v>
      </c>
      <c r="AX241">
        <f t="shared" si="26"/>
        <v>2</v>
      </c>
      <c r="AY241">
        <f t="shared" si="27"/>
        <v>0</v>
      </c>
      <c r="AZ241">
        <f t="shared" si="22"/>
        <v>2</v>
      </c>
    </row>
    <row r="242" spans="1:52" x14ac:dyDescent="0.2">
      <c r="A242">
        <v>241</v>
      </c>
      <c r="B242" t="s">
        <v>289</v>
      </c>
      <c r="C242">
        <v>0</v>
      </c>
      <c r="H242" t="s">
        <v>289</v>
      </c>
      <c r="I242" t="s">
        <v>146</v>
      </c>
      <c r="Q242" t="s">
        <v>289</v>
      </c>
      <c r="R242">
        <v>455.58295479999998</v>
      </c>
      <c r="S242">
        <v>6</v>
      </c>
      <c r="T242">
        <v>130</v>
      </c>
      <c r="V242">
        <v>0</v>
      </c>
      <c r="W242">
        <v>0</v>
      </c>
      <c r="X242" t="s">
        <v>289</v>
      </c>
      <c r="Y242">
        <v>-1</v>
      </c>
      <c r="Z242">
        <v>6</v>
      </c>
      <c r="AA242">
        <v>455.58</v>
      </c>
      <c r="AB242">
        <v>130</v>
      </c>
      <c r="AC242">
        <v>6.78</v>
      </c>
      <c r="AD242">
        <v>0.08</v>
      </c>
      <c r="AE242">
        <v>0</v>
      </c>
      <c r="AF242">
        <v>0.01</v>
      </c>
      <c r="AG242">
        <v>1</v>
      </c>
      <c r="AH242">
        <v>6.78</v>
      </c>
      <c r="AI242">
        <v>6.78</v>
      </c>
      <c r="AJ242">
        <v>6.78</v>
      </c>
      <c r="AK242">
        <v>0.08</v>
      </c>
      <c r="AL242">
        <v>0.08</v>
      </c>
      <c r="AM242">
        <v>0.08</v>
      </c>
      <c r="AN242">
        <v>0</v>
      </c>
      <c r="AO242">
        <v>0</v>
      </c>
      <c r="AP242">
        <v>0</v>
      </c>
      <c r="AQ242">
        <v>455.58295479999998</v>
      </c>
      <c r="AR242">
        <v>0</v>
      </c>
      <c r="AS242">
        <f>_xlfn.XLOOKUP(B242,InstallDate!$H$2:$H$389,InstallDate!$BE$2:$BE$389)</f>
        <v>0</v>
      </c>
      <c r="AT242">
        <f t="shared" si="23"/>
        <v>0</v>
      </c>
      <c r="AU242">
        <f t="shared" si="21"/>
        <v>5.4444712117562036E-2</v>
      </c>
      <c r="AV242">
        <f t="shared" si="24"/>
        <v>0</v>
      </c>
      <c r="AW242">
        <f t="shared" si="25"/>
        <v>0</v>
      </c>
      <c r="AX242">
        <f t="shared" si="26"/>
        <v>2</v>
      </c>
      <c r="AY242">
        <f t="shared" si="27"/>
        <v>0</v>
      </c>
      <c r="AZ242">
        <f t="shared" si="22"/>
        <v>2</v>
      </c>
    </row>
    <row r="243" spans="1:52" x14ac:dyDescent="0.2">
      <c r="A243">
        <v>242</v>
      </c>
      <c r="B243" t="s">
        <v>290</v>
      </c>
      <c r="C243">
        <v>0</v>
      </c>
      <c r="H243" t="s">
        <v>290</v>
      </c>
      <c r="I243" t="s">
        <v>146</v>
      </c>
      <c r="Q243" t="s">
        <v>290</v>
      </c>
      <c r="R243">
        <v>31.658261719999999</v>
      </c>
      <c r="S243">
        <v>6</v>
      </c>
      <c r="T243">
        <v>130</v>
      </c>
      <c r="V243">
        <v>0</v>
      </c>
      <c r="W243">
        <v>0</v>
      </c>
      <c r="X243" t="s">
        <v>290</v>
      </c>
      <c r="Y243">
        <v>-1</v>
      </c>
      <c r="Z243">
        <v>6</v>
      </c>
      <c r="AA243">
        <v>31.66</v>
      </c>
      <c r="AB243">
        <v>130</v>
      </c>
      <c r="AC243">
        <v>6.78</v>
      </c>
      <c r="AD243">
        <v>0.08</v>
      </c>
      <c r="AE243">
        <v>0</v>
      </c>
      <c r="AF243">
        <v>0.01</v>
      </c>
      <c r="AG243">
        <v>1</v>
      </c>
      <c r="AH243">
        <v>6.78</v>
      </c>
      <c r="AI243">
        <v>6.78</v>
      </c>
      <c r="AJ243">
        <v>6.78</v>
      </c>
      <c r="AK243">
        <v>0.08</v>
      </c>
      <c r="AL243">
        <v>0.08</v>
      </c>
      <c r="AM243">
        <v>0.08</v>
      </c>
      <c r="AN243">
        <v>0</v>
      </c>
      <c r="AO243">
        <v>0</v>
      </c>
      <c r="AP243">
        <v>0</v>
      </c>
      <c r="AQ243">
        <v>31.658261719999999</v>
      </c>
      <c r="AR243">
        <v>0</v>
      </c>
      <c r="AS243">
        <f>_xlfn.XLOOKUP(B243,InstallDate!$H$2:$H$389,InstallDate!$BE$2:$BE$389)</f>
        <v>1</v>
      </c>
      <c r="AT243">
        <f t="shared" si="23"/>
        <v>1</v>
      </c>
      <c r="AU243">
        <f t="shared" si="21"/>
        <v>5.4444712117562036E-2</v>
      </c>
      <c r="AV243">
        <f t="shared" si="24"/>
        <v>0</v>
      </c>
      <c r="AW243">
        <f t="shared" si="25"/>
        <v>0</v>
      </c>
      <c r="AX243">
        <f t="shared" si="26"/>
        <v>2</v>
      </c>
      <c r="AY243">
        <f t="shared" si="27"/>
        <v>0</v>
      </c>
      <c r="AZ243">
        <f t="shared" si="22"/>
        <v>2</v>
      </c>
    </row>
    <row r="244" spans="1:52" x14ac:dyDescent="0.2">
      <c r="A244">
        <v>243</v>
      </c>
      <c r="B244" t="s">
        <v>291</v>
      </c>
      <c r="C244">
        <v>0</v>
      </c>
      <c r="H244" t="s">
        <v>291</v>
      </c>
      <c r="I244" t="s">
        <v>146</v>
      </c>
      <c r="Q244" t="s">
        <v>291</v>
      </c>
      <c r="R244">
        <v>425.86990750000001</v>
      </c>
      <c r="S244">
        <v>2</v>
      </c>
      <c r="T244">
        <v>130</v>
      </c>
      <c r="V244">
        <v>0</v>
      </c>
      <c r="W244">
        <v>0</v>
      </c>
      <c r="X244" t="s">
        <v>291</v>
      </c>
      <c r="Y244">
        <v>0</v>
      </c>
      <c r="Z244">
        <v>2</v>
      </c>
      <c r="AA244">
        <v>425.87</v>
      </c>
      <c r="AB244">
        <v>130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425.86990750000001</v>
      </c>
      <c r="AR244">
        <v>0</v>
      </c>
      <c r="AS244">
        <f>_xlfn.XLOOKUP(B244,InstallDate!$H$2:$H$389,InstallDate!$BE$2:$BE$389)</f>
        <v>0</v>
      </c>
      <c r="AT244">
        <f t="shared" si="23"/>
        <v>0</v>
      </c>
      <c r="AU244">
        <f t="shared" si="21"/>
        <v>0</v>
      </c>
      <c r="AV244">
        <f t="shared" si="24"/>
        <v>0</v>
      </c>
      <c r="AW244">
        <f t="shared" si="25"/>
        <v>0</v>
      </c>
      <c r="AX244">
        <f t="shared" si="26"/>
        <v>0</v>
      </c>
      <c r="AY244">
        <f t="shared" si="27"/>
        <v>1</v>
      </c>
      <c r="AZ244">
        <f t="shared" si="22"/>
        <v>1</v>
      </c>
    </row>
    <row r="245" spans="1:52" x14ac:dyDescent="0.2">
      <c r="A245">
        <v>244</v>
      </c>
      <c r="B245" t="s">
        <v>292</v>
      </c>
      <c r="C245">
        <v>0</v>
      </c>
      <c r="H245" t="s">
        <v>292</v>
      </c>
      <c r="I245" t="s">
        <v>141</v>
      </c>
      <c r="Q245" t="s">
        <v>292</v>
      </c>
      <c r="R245">
        <v>34.196326089999999</v>
      </c>
      <c r="S245">
        <v>2</v>
      </c>
      <c r="T245">
        <v>130</v>
      </c>
      <c r="V245">
        <v>0</v>
      </c>
      <c r="W245">
        <v>0</v>
      </c>
      <c r="X245" t="s">
        <v>292</v>
      </c>
      <c r="Y245">
        <v>1</v>
      </c>
      <c r="Z245">
        <v>2</v>
      </c>
      <c r="AA245">
        <v>34.200000000000003</v>
      </c>
      <c r="AB245">
        <v>130</v>
      </c>
      <c r="AC245">
        <v>5.17</v>
      </c>
      <c r="AD245">
        <v>0.53</v>
      </c>
      <c r="AE245">
        <v>0.03</v>
      </c>
      <c r="AF245">
        <v>0.91</v>
      </c>
      <c r="AG245">
        <v>1</v>
      </c>
      <c r="AH245">
        <v>5.17</v>
      </c>
      <c r="AI245">
        <v>5.17</v>
      </c>
      <c r="AJ245">
        <v>5.17</v>
      </c>
      <c r="AK245">
        <v>0.53</v>
      </c>
      <c r="AL245">
        <v>0.53</v>
      </c>
      <c r="AM245">
        <v>0.53</v>
      </c>
      <c r="AN245">
        <v>0.03</v>
      </c>
      <c r="AO245">
        <v>0.03</v>
      </c>
      <c r="AP245">
        <v>0.03</v>
      </c>
      <c r="AQ245">
        <v>34.196326089999999</v>
      </c>
      <c r="AR245">
        <v>0</v>
      </c>
      <c r="AS245">
        <f>_xlfn.XLOOKUP(B245,InstallDate!$H$2:$H$389,InstallDate!$BE$2:$BE$389)</f>
        <v>1</v>
      </c>
      <c r="AT245">
        <f t="shared" si="23"/>
        <v>1</v>
      </c>
      <c r="AU245">
        <f t="shared" si="21"/>
        <v>4.1516100538022967E-2</v>
      </c>
      <c r="AV245">
        <f t="shared" si="24"/>
        <v>0</v>
      </c>
      <c r="AW245">
        <f t="shared" si="25"/>
        <v>0</v>
      </c>
      <c r="AX245">
        <f t="shared" si="26"/>
        <v>2</v>
      </c>
      <c r="AY245">
        <f t="shared" si="27"/>
        <v>0</v>
      </c>
      <c r="AZ245">
        <f t="shared" si="22"/>
        <v>2</v>
      </c>
    </row>
    <row r="246" spans="1:52" x14ac:dyDescent="0.2">
      <c r="A246">
        <v>245</v>
      </c>
      <c r="B246" t="s">
        <v>293</v>
      </c>
      <c r="C246">
        <v>0</v>
      </c>
      <c r="H246" t="s">
        <v>293</v>
      </c>
      <c r="I246" t="s">
        <v>141</v>
      </c>
      <c r="Q246" t="s">
        <v>293</v>
      </c>
      <c r="R246">
        <v>216.6383419</v>
      </c>
      <c r="S246">
        <v>2</v>
      </c>
      <c r="T246">
        <v>130</v>
      </c>
      <c r="V246">
        <v>0</v>
      </c>
      <c r="W246">
        <v>0</v>
      </c>
      <c r="X246" t="s">
        <v>293</v>
      </c>
      <c r="Y246">
        <v>1</v>
      </c>
      <c r="Z246">
        <v>2</v>
      </c>
      <c r="AA246">
        <v>216.64</v>
      </c>
      <c r="AB246">
        <v>130</v>
      </c>
      <c r="AC246">
        <v>5.17</v>
      </c>
      <c r="AD246">
        <v>0.53</v>
      </c>
      <c r="AE246">
        <v>0.2</v>
      </c>
      <c r="AF246">
        <v>0.91</v>
      </c>
      <c r="AG246">
        <v>1</v>
      </c>
      <c r="AH246">
        <v>5.17</v>
      </c>
      <c r="AI246">
        <v>5.17</v>
      </c>
      <c r="AJ246">
        <v>5.17</v>
      </c>
      <c r="AK246">
        <v>0.53</v>
      </c>
      <c r="AL246">
        <v>0.53</v>
      </c>
      <c r="AM246">
        <v>0.53</v>
      </c>
      <c r="AN246">
        <v>0.2</v>
      </c>
      <c r="AO246">
        <v>0.2</v>
      </c>
      <c r="AP246">
        <v>0.2</v>
      </c>
      <c r="AQ246">
        <v>216.6383419</v>
      </c>
      <c r="AR246">
        <v>0</v>
      </c>
      <c r="AS246">
        <f>_xlfn.XLOOKUP(B246,InstallDate!$H$2:$H$389,InstallDate!$BE$2:$BE$389)</f>
        <v>0</v>
      </c>
      <c r="AT246">
        <f t="shared" si="23"/>
        <v>0</v>
      </c>
      <c r="AU246">
        <f t="shared" si="21"/>
        <v>4.1516100538022967E-2</v>
      </c>
      <c r="AV246">
        <f t="shared" si="24"/>
        <v>0</v>
      </c>
      <c r="AW246">
        <f t="shared" si="25"/>
        <v>0</v>
      </c>
      <c r="AX246">
        <f t="shared" si="26"/>
        <v>2</v>
      </c>
      <c r="AY246">
        <f t="shared" si="27"/>
        <v>0</v>
      </c>
      <c r="AZ246">
        <f t="shared" si="22"/>
        <v>2</v>
      </c>
    </row>
    <row r="247" spans="1:52" x14ac:dyDescent="0.2">
      <c r="A247">
        <v>246</v>
      </c>
      <c r="B247" t="s">
        <v>294</v>
      </c>
      <c r="C247">
        <v>0</v>
      </c>
      <c r="H247" t="s">
        <v>294</v>
      </c>
      <c r="I247" t="s">
        <v>141</v>
      </c>
      <c r="Q247" t="s">
        <v>294</v>
      </c>
      <c r="R247">
        <v>456.69837489999998</v>
      </c>
      <c r="S247">
        <v>2</v>
      </c>
      <c r="T247">
        <v>130</v>
      </c>
      <c r="V247">
        <v>0</v>
      </c>
      <c r="W247">
        <v>0</v>
      </c>
      <c r="X247" t="s">
        <v>294</v>
      </c>
      <c r="Y247">
        <v>1</v>
      </c>
      <c r="Z247">
        <v>2</v>
      </c>
      <c r="AA247">
        <v>456.7</v>
      </c>
      <c r="AB247">
        <v>130</v>
      </c>
      <c r="AC247">
        <v>4.62</v>
      </c>
      <c r="AD247">
        <v>0.47</v>
      </c>
      <c r="AE247">
        <v>0.34</v>
      </c>
      <c r="AF247">
        <v>0.74</v>
      </c>
      <c r="AG247">
        <v>1</v>
      </c>
      <c r="AH247">
        <v>4.62</v>
      </c>
      <c r="AI247">
        <v>4.62</v>
      </c>
      <c r="AJ247">
        <v>4.62</v>
      </c>
      <c r="AK247">
        <v>0.47</v>
      </c>
      <c r="AL247">
        <v>0.47</v>
      </c>
      <c r="AM247">
        <v>0.47</v>
      </c>
      <c r="AN247">
        <v>0.34</v>
      </c>
      <c r="AO247">
        <v>0.34</v>
      </c>
      <c r="AP247">
        <v>0.34</v>
      </c>
      <c r="AQ247">
        <v>456.69837489999998</v>
      </c>
      <c r="AR247">
        <v>0</v>
      </c>
      <c r="AS247">
        <f>_xlfn.XLOOKUP(B247,InstallDate!$H$2:$H$389,InstallDate!$BE$2:$BE$389)</f>
        <v>0</v>
      </c>
      <c r="AT247">
        <f t="shared" si="23"/>
        <v>0</v>
      </c>
      <c r="AU247">
        <f t="shared" si="21"/>
        <v>3.7099494097807759E-2</v>
      </c>
      <c r="AV247">
        <f t="shared" si="24"/>
        <v>0</v>
      </c>
      <c r="AW247">
        <f t="shared" si="25"/>
        <v>0</v>
      </c>
      <c r="AX247">
        <f t="shared" si="26"/>
        <v>2</v>
      </c>
      <c r="AY247">
        <f t="shared" si="27"/>
        <v>0</v>
      </c>
      <c r="AZ247">
        <f t="shared" si="22"/>
        <v>2</v>
      </c>
    </row>
    <row r="248" spans="1:52" x14ac:dyDescent="0.2">
      <c r="A248">
        <v>247</v>
      </c>
      <c r="B248" t="s">
        <v>295</v>
      </c>
      <c r="C248">
        <v>0</v>
      </c>
      <c r="H248" t="s">
        <v>295</v>
      </c>
      <c r="I248" t="s">
        <v>146</v>
      </c>
      <c r="Q248" t="s">
        <v>295</v>
      </c>
      <c r="R248">
        <v>397.55740259999999</v>
      </c>
      <c r="S248">
        <v>2</v>
      </c>
      <c r="T248">
        <v>130</v>
      </c>
      <c r="V248">
        <v>0</v>
      </c>
      <c r="W248">
        <v>0</v>
      </c>
      <c r="X248" t="s">
        <v>295</v>
      </c>
      <c r="Y248">
        <v>1</v>
      </c>
      <c r="Z248">
        <v>2</v>
      </c>
      <c r="AA248">
        <v>397.56</v>
      </c>
      <c r="AB248">
        <v>130</v>
      </c>
      <c r="AC248">
        <v>0.28000000000000003</v>
      </c>
      <c r="AD248">
        <v>0.03</v>
      </c>
      <c r="AE248">
        <v>0</v>
      </c>
      <c r="AF248">
        <v>0</v>
      </c>
      <c r="AG248">
        <v>1</v>
      </c>
      <c r="AH248">
        <v>0.28000000000000003</v>
      </c>
      <c r="AI248">
        <v>0.28000000000000003</v>
      </c>
      <c r="AJ248">
        <v>0.28000000000000003</v>
      </c>
      <c r="AK248">
        <v>0.03</v>
      </c>
      <c r="AL248">
        <v>0.03</v>
      </c>
      <c r="AM248">
        <v>0.03</v>
      </c>
      <c r="AN248">
        <v>0</v>
      </c>
      <c r="AO248">
        <v>0</v>
      </c>
      <c r="AP248">
        <v>0</v>
      </c>
      <c r="AQ248">
        <v>397.55740259999999</v>
      </c>
      <c r="AR248">
        <v>0</v>
      </c>
      <c r="AS248">
        <f>_xlfn.XLOOKUP(B248,InstallDate!$H$2:$H$389,InstallDate!$BE$2:$BE$389)</f>
        <v>0</v>
      </c>
      <c r="AT248">
        <f t="shared" si="23"/>
        <v>0</v>
      </c>
      <c r="AU248">
        <f t="shared" si="21"/>
        <v>2.2484541877459247E-3</v>
      </c>
      <c r="AV248">
        <f t="shared" si="24"/>
        <v>0</v>
      </c>
      <c r="AW248">
        <f t="shared" si="25"/>
        <v>0</v>
      </c>
      <c r="AX248">
        <f t="shared" si="26"/>
        <v>0</v>
      </c>
      <c r="AY248">
        <f t="shared" si="27"/>
        <v>1</v>
      </c>
      <c r="AZ248">
        <f t="shared" si="22"/>
        <v>1</v>
      </c>
    </row>
    <row r="249" spans="1:52" x14ac:dyDescent="0.2">
      <c r="A249">
        <v>248</v>
      </c>
      <c r="B249" t="s">
        <v>296</v>
      </c>
      <c r="C249">
        <v>0</v>
      </c>
      <c r="H249" t="s">
        <v>296</v>
      </c>
      <c r="I249" t="s">
        <v>146</v>
      </c>
      <c r="Q249" t="s">
        <v>296</v>
      </c>
      <c r="R249">
        <v>835.34631239999999</v>
      </c>
      <c r="S249">
        <v>6</v>
      </c>
      <c r="T249">
        <v>130</v>
      </c>
      <c r="V249">
        <v>0</v>
      </c>
      <c r="W249">
        <v>0</v>
      </c>
      <c r="X249" t="s">
        <v>296</v>
      </c>
      <c r="Y249">
        <v>-1</v>
      </c>
      <c r="Z249">
        <v>6</v>
      </c>
      <c r="AA249">
        <v>835.35</v>
      </c>
      <c r="AB249">
        <v>130</v>
      </c>
      <c r="AC249">
        <v>6.75</v>
      </c>
      <c r="AD249">
        <v>0.08</v>
      </c>
      <c r="AE249">
        <v>0.01</v>
      </c>
      <c r="AF249">
        <v>0.01</v>
      </c>
      <c r="AG249">
        <v>1</v>
      </c>
      <c r="AH249">
        <v>6.75</v>
      </c>
      <c r="AI249">
        <v>6.75</v>
      </c>
      <c r="AJ249">
        <v>6.75</v>
      </c>
      <c r="AK249">
        <v>0.08</v>
      </c>
      <c r="AL249">
        <v>0.08</v>
      </c>
      <c r="AM249">
        <v>0.08</v>
      </c>
      <c r="AN249">
        <v>0.01</v>
      </c>
      <c r="AO249">
        <v>0.01</v>
      </c>
      <c r="AP249">
        <v>0.01</v>
      </c>
      <c r="AQ249">
        <v>835.34631239999999</v>
      </c>
      <c r="AR249">
        <v>0</v>
      </c>
      <c r="AS249">
        <f>_xlfn.XLOOKUP(B249,InstallDate!$H$2:$H$389,InstallDate!$BE$2:$BE$389)</f>
        <v>0</v>
      </c>
      <c r="AT249">
        <f t="shared" si="23"/>
        <v>0</v>
      </c>
      <c r="AU249">
        <f t="shared" si="21"/>
        <v>5.4203806311732113E-2</v>
      </c>
      <c r="AV249">
        <f t="shared" si="24"/>
        <v>0</v>
      </c>
      <c r="AW249">
        <f t="shared" si="25"/>
        <v>0</v>
      </c>
      <c r="AX249">
        <f t="shared" si="26"/>
        <v>2</v>
      </c>
      <c r="AY249">
        <f t="shared" si="27"/>
        <v>0</v>
      </c>
      <c r="AZ249">
        <f t="shared" si="22"/>
        <v>2</v>
      </c>
    </row>
    <row r="250" spans="1:52" x14ac:dyDescent="0.2">
      <c r="A250">
        <v>249</v>
      </c>
      <c r="B250" t="s">
        <v>297</v>
      </c>
      <c r="C250">
        <v>0</v>
      </c>
      <c r="H250" t="s">
        <v>297</v>
      </c>
      <c r="I250" t="s">
        <v>146</v>
      </c>
      <c r="Q250" t="s">
        <v>297</v>
      </c>
      <c r="R250">
        <v>964.16866900000002</v>
      </c>
      <c r="S250">
        <v>6</v>
      </c>
      <c r="T250">
        <v>130</v>
      </c>
      <c r="V250">
        <v>0</v>
      </c>
      <c r="W250">
        <v>0</v>
      </c>
      <c r="X250" t="s">
        <v>297</v>
      </c>
      <c r="Y250">
        <v>-1</v>
      </c>
      <c r="Z250">
        <v>6</v>
      </c>
      <c r="AA250">
        <v>964.17</v>
      </c>
      <c r="AB250">
        <v>130</v>
      </c>
      <c r="AC250">
        <v>7.72</v>
      </c>
      <c r="AD250">
        <v>0.09</v>
      </c>
      <c r="AE250">
        <v>0.01</v>
      </c>
      <c r="AF250">
        <v>0.01</v>
      </c>
      <c r="AG250">
        <v>1</v>
      </c>
      <c r="AH250">
        <v>7.72</v>
      </c>
      <c r="AI250">
        <v>7.72</v>
      </c>
      <c r="AJ250">
        <v>7.72</v>
      </c>
      <c r="AK250">
        <v>0.09</v>
      </c>
      <c r="AL250">
        <v>0.09</v>
      </c>
      <c r="AM250">
        <v>0.09</v>
      </c>
      <c r="AN250">
        <v>0.01</v>
      </c>
      <c r="AO250">
        <v>0.01</v>
      </c>
      <c r="AP250">
        <v>0.01</v>
      </c>
      <c r="AQ250">
        <v>964.16866900000002</v>
      </c>
      <c r="AR250">
        <v>0</v>
      </c>
      <c r="AS250">
        <f>_xlfn.XLOOKUP(B250,InstallDate!$H$2:$H$389,InstallDate!$BE$2:$BE$389)</f>
        <v>0</v>
      </c>
      <c r="AT250">
        <f t="shared" si="23"/>
        <v>0</v>
      </c>
      <c r="AU250">
        <f t="shared" si="21"/>
        <v>6.1993094033566204E-2</v>
      </c>
      <c r="AV250">
        <f t="shared" si="24"/>
        <v>0</v>
      </c>
      <c r="AW250">
        <f t="shared" si="25"/>
        <v>0</v>
      </c>
      <c r="AX250">
        <f t="shared" si="26"/>
        <v>2</v>
      </c>
      <c r="AY250">
        <f t="shared" si="27"/>
        <v>0</v>
      </c>
      <c r="AZ250">
        <f t="shared" si="22"/>
        <v>2</v>
      </c>
    </row>
    <row r="251" spans="1:52" x14ac:dyDescent="0.2">
      <c r="A251">
        <v>250</v>
      </c>
      <c r="B251" t="s">
        <v>298</v>
      </c>
      <c r="C251">
        <v>0</v>
      </c>
      <c r="H251" t="s">
        <v>298</v>
      </c>
      <c r="I251" t="s">
        <v>141</v>
      </c>
      <c r="Q251" t="s">
        <v>298</v>
      </c>
      <c r="R251">
        <v>341.4388884</v>
      </c>
      <c r="S251">
        <v>3</v>
      </c>
      <c r="T251">
        <v>130</v>
      </c>
      <c r="V251">
        <v>0</v>
      </c>
      <c r="W251">
        <v>0</v>
      </c>
      <c r="X251" t="s">
        <v>298</v>
      </c>
      <c r="Y251">
        <v>0</v>
      </c>
      <c r="Z251">
        <v>3</v>
      </c>
      <c r="AA251">
        <v>341.44</v>
      </c>
      <c r="AB251">
        <v>130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341.4388884</v>
      </c>
      <c r="AR251">
        <v>0</v>
      </c>
      <c r="AS251">
        <f>_xlfn.XLOOKUP(B251,InstallDate!$H$2:$H$389,InstallDate!$BE$2:$BE$389)</f>
        <v>0</v>
      </c>
      <c r="AT251">
        <f t="shared" si="23"/>
        <v>0</v>
      </c>
      <c r="AU251">
        <f t="shared" si="21"/>
        <v>0</v>
      </c>
      <c r="AV251">
        <f t="shared" si="24"/>
        <v>0</v>
      </c>
      <c r="AW251">
        <f t="shared" si="25"/>
        <v>0</v>
      </c>
      <c r="AX251">
        <f t="shared" si="26"/>
        <v>0</v>
      </c>
      <c r="AY251">
        <f t="shared" si="27"/>
        <v>1</v>
      </c>
      <c r="AZ251">
        <f t="shared" si="22"/>
        <v>1</v>
      </c>
    </row>
    <row r="252" spans="1:52" x14ac:dyDescent="0.2">
      <c r="A252">
        <v>251</v>
      </c>
      <c r="B252" t="s">
        <v>299</v>
      </c>
      <c r="C252">
        <v>0</v>
      </c>
      <c r="H252" t="s">
        <v>299</v>
      </c>
      <c r="I252" t="s">
        <v>141</v>
      </c>
      <c r="Q252" t="s">
        <v>299</v>
      </c>
      <c r="R252">
        <v>42.477414520000004</v>
      </c>
      <c r="S252">
        <v>3</v>
      </c>
      <c r="T252">
        <v>130</v>
      </c>
      <c r="V252">
        <v>0</v>
      </c>
      <c r="W252">
        <v>0</v>
      </c>
      <c r="X252" t="s">
        <v>299</v>
      </c>
      <c r="Y252">
        <v>0</v>
      </c>
      <c r="Z252">
        <v>3</v>
      </c>
      <c r="AA252">
        <v>42.48</v>
      </c>
      <c r="AB252">
        <v>130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42.477414520000004</v>
      </c>
      <c r="AR252">
        <v>0</v>
      </c>
      <c r="AS252">
        <f>_xlfn.XLOOKUP(B252,InstallDate!$H$2:$H$389,InstallDate!$BE$2:$BE$389)</f>
        <v>0</v>
      </c>
      <c r="AT252">
        <f t="shared" si="23"/>
        <v>0</v>
      </c>
      <c r="AU252">
        <f t="shared" si="21"/>
        <v>0</v>
      </c>
      <c r="AV252">
        <f t="shared" si="24"/>
        <v>0</v>
      </c>
      <c r="AW252">
        <f t="shared" si="25"/>
        <v>0</v>
      </c>
      <c r="AX252">
        <f t="shared" si="26"/>
        <v>0</v>
      </c>
      <c r="AY252">
        <f t="shared" si="27"/>
        <v>1</v>
      </c>
      <c r="AZ252">
        <f t="shared" si="22"/>
        <v>1</v>
      </c>
    </row>
    <row r="253" spans="1:52" x14ac:dyDescent="0.2">
      <c r="A253">
        <v>252</v>
      </c>
      <c r="B253" t="s">
        <v>300</v>
      </c>
      <c r="C253">
        <v>0</v>
      </c>
      <c r="H253" t="s">
        <v>300</v>
      </c>
      <c r="I253" t="s">
        <v>141</v>
      </c>
      <c r="Q253" t="s">
        <v>300</v>
      </c>
      <c r="R253">
        <v>34.797910790000003</v>
      </c>
      <c r="S253">
        <v>1.5</v>
      </c>
      <c r="T253">
        <v>130</v>
      </c>
      <c r="V253">
        <v>0</v>
      </c>
      <c r="W253">
        <v>0</v>
      </c>
      <c r="X253" t="s">
        <v>300</v>
      </c>
      <c r="Y253">
        <v>1</v>
      </c>
      <c r="Z253">
        <v>1.5</v>
      </c>
      <c r="AA253">
        <v>34.799999999999997</v>
      </c>
      <c r="AB253">
        <v>130</v>
      </c>
      <c r="AC253">
        <v>0.14000000000000001</v>
      </c>
      <c r="AD253">
        <v>0.03</v>
      </c>
      <c r="AE253">
        <v>0</v>
      </c>
      <c r="AF253">
        <v>0.01</v>
      </c>
      <c r="AG253">
        <v>1</v>
      </c>
      <c r="AH253">
        <v>0.14000000000000001</v>
      </c>
      <c r="AI253">
        <v>0.14000000000000001</v>
      </c>
      <c r="AJ253">
        <v>0.14000000000000001</v>
      </c>
      <c r="AK253">
        <v>0.03</v>
      </c>
      <c r="AL253">
        <v>0.03</v>
      </c>
      <c r="AM253">
        <v>0.03</v>
      </c>
      <c r="AN253">
        <v>0</v>
      </c>
      <c r="AO253">
        <v>0</v>
      </c>
      <c r="AP253">
        <v>0</v>
      </c>
      <c r="AQ253">
        <v>34.797910790000003</v>
      </c>
      <c r="AR253">
        <v>0</v>
      </c>
      <c r="AS253">
        <f>_xlfn.XLOOKUP(B253,InstallDate!$H$2:$H$389,InstallDate!$BE$2:$BE$389)</f>
        <v>0</v>
      </c>
      <c r="AT253">
        <f t="shared" si="23"/>
        <v>0</v>
      </c>
      <c r="AU253">
        <f t="shared" si="21"/>
        <v>1.1242270938729624E-3</v>
      </c>
      <c r="AV253">
        <f t="shared" si="24"/>
        <v>0</v>
      </c>
      <c r="AW253">
        <f t="shared" si="25"/>
        <v>0</v>
      </c>
      <c r="AX253">
        <f t="shared" si="26"/>
        <v>0</v>
      </c>
      <c r="AY253">
        <f t="shared" si="27"/>
        <v>1</v>
      </c>
      <c r="AZ253">
        <f t="shared" si="22"/>
        <v>1</v>
      </c>
    </row>
    <row r="254" spans="1:52" x14ac:dyDescent="0.2">
      <c r="A254">
        <v>253</v>
      </c>
      <c r="B254" t="s">
        <v>301</v>
      </c>
      <c r="C254">
        <v>0</v>
      </c>
      <c r="H254" t="s">
        <v>301</v>
      </c>
      <c r="I254" t="s">
        <v>141</v>
      </c>
      <c r="Q254" t="s">
        <v>301</v>
      </c>
      <c r="R254">
        <v>339.34255530000001</v>
      </c>
      <c r="S254">
        <v>1.5</v>
      </c>
      <c r="T254">
        <v>130</v>
      </c>
      <c r="V254">
        <v>0</v>
      </c>
      <c r="W254">
        <v>0</v>
      </c>
      <c r="X254" t="s">
        <v>301</v>
      </c>
      <c r="Y254">
        <v>1</v>
      </c>
      <c r="Z254">
        <v>1.5</v>
      </c>
      <c r="AA254">
        <v>339.34</v>
      </c>
      <c r="AB254">
        <v>130</v>
      </c>
      <c r="AC254">
        <v>0.14000000000000001</v>
      </c>
      <c r="AD254">
        <v>0.03</v>
      </c>
      <c r="AE254">
        <v>0</v>
      </c>
      <c r="AF254">
        <v>0</v>
      </c>
      <c r="AG254">
        <v>1</v>
      </c>
      <c r="AH254">
        <v>0.14000000000000001</v>
      </c>
      <c r="AI254">
        <v>0.14000000000000001</v>
      </c>
      <c r="AJ254">
        <v>0.14000000000000001</v>
      </c>
      <c r="AK254">
        <v>0.03</v>
      </c>
      <c r="AL254">
        <v>0.03</v>
      </c>
      <c r="AM254">
        <v>0.03</v>
      </c>
      <c r="AN254">
        <v>0</v>
      </c>
      <c r="AO254">
        <v>0</v>
      </c>
      <c r="AP254">
        <v>0</v>
      </c>
      <c r="AQ254">
        <v>339.34255530000001</v>
      </c>
      <c r="AR254">
        <v>0</v>
      </c>
      <c r="AS254">
        <f>_xlfn.XLOOKUP(B254,InstallDate!$H$2:$H$389,InstallDate!$BE$2:$BE$389)</f>
        <v>0</v>
      </c>
      <c r="AT254">
        <f t="shared" si="23"/>
        <v>0</v>
      </c>
      <c r="AU254">
        <f t="shared" si="21"/>
        <v>1.1242270938729624E-3</v>
      </c>
      <c r="AV254">
        <f t="shared" si="24"/>
        <v>0</v>
      </c>
      <c r="AW254">
        <f t="shared" si="25"/>
        <v>0</v>
      </c>
      <c r="AX254">
        <f t="shared" si="26"/>
        <v>0</v>
      </c>
      <c r="AY254">
        <f t="shared" si="27"/>
        <v>1</v>
      </c>
      <c r="AZ254">
        <f t="shared" si="22"/>
        <v>1</v>
      </c>
    </row>
    <row r="255" spans="1:52" x14ac:dyDescent="0.2">
      <c r="A255">
        <v>254</v>
      </c>
      <c r="B255" t="s">
        <v>302</v>
      </c>
      <c r="C255">
        <v>0</v>
      </c>
      <c r="H255" t="s">
        <v>302</v>
      </c>
      <c r="I255" t="s">
        <v>141</v>
      </c>
      <c r="Q255" t="s">
        <v>302</v>
      </c>
      <c r="R255">
        <v>91.161349770000001</v>
      </c>
      <c r="S255">
        <v>1.5</v>
      </c>
      <c r="T255">
        <v>130</v>
      </c>
      <c r="V255">
        <v>0</v>
      </c>
      <c r="W255">
        <v>0</v>
      </c>
      <c r="X255" t="s">
        <v>302</v>
      </c>
      <c r="Y255">
        <v>1</v>
      </c>
      <c r="Z255">
        <v>1.5</v>
      </c>
      <c r="AA255">
        <v>91.16</v>
      </c>
      <c r="AB255">
        <v>130</v>
      </c>
      <c r="AC255">
        <v>0.69</v>
      </c>
      <c r="AD255">
        <v>0.13</v>
      </c>
      <c r="AE255">
        <v>0.01</v>
      </c>
      <c r="AF255">
        <v>0.09</v>
      </c>
      <c r="AG255">
        <v>1</v>
      </c>
      <c r="AH255">
        <v>0.69</v>
      </c>
      <c r="AI255">
        <v>0.69</v>
      </c>
      <c r="AJ255">
        <v>0.69</v>
      </c>
      <c r="AK255">
        <v>0.13</v>
      </c>
      <c r="AL255">
        <v>0.13</v>
      </c>
      <c r="AM255">
        <v>0.13</v>
      </c>
      <c r="AN255">
        <v>0.01</v>
      </c>
      <c r="AO255">
        <v>0.01</v>
      </c>
      <c r="AP255">
        <v>0.01</v>
      </c>
      <c r="AQ255">
        <v>91.161349770000001</v>
      </c>
      <c r="AR255">
        <v>0</v>
      </c>
      <c r="AS255">
        <f>_xlfn.XLOOKUP(B255,InstallDate!$H$2:$H$389,InstallDate!$BE$2:$BE$389)</f>
        <v>0</v>
      </c>
      <c r="AT255">
        <f t="shared" si="23"/>
        <v>0</v>
      </c>
      <c r="AU255">
        <f t="shared" si="21"/>
        <v>5.5408335340881715E-3</v>
      </c>
      <c r="AV255">
        <f t="shared" si="24"/>
        <v>0</v>
      </c>
      <c r="AW255">
        <f t="shared" si="25"/>
        <v>0</v>
      </c>
      <c r="AX255">
        <f t="shared" si="26"/>
        <v>0</v>
      </c>
      <c r="AY255">
        <f t="shared" si="27"/>
        <v>1</v>
      </c>
      <c r="AZ255">
        <f t="shared" si="22"/>
        <v>1</v>
      </c>
    </row>
    <row r="256" spans="1:52" x14ac:dyDescent="0.2">
      <c r="A256">
        <v>255</v>
      </c>
      <c r="B256" t="s">
        <v>303</v>
      </c>
      <c r="C256">
        <v>0</v>
      </c>
      <c r="H256" t="s">
        <v>303</v>
      </c>
      <c r="I256" t="s">
        <v>141</v>
      </c>
      <c r="Q256" t="s">
        <v>303</v>
      </c>
      <c r="R256">
        <v>1702.058368</v>
      </c>
      <c r="S256">
        <v>1.5</v>
      </c>
      <c r="T256">
        <v>130</v>
      </c>
      <c r="V256">
        <v>0</v>
      </c>
      <c r="W256">
        <v>0</v>
      </c>
      <c r="X256" t="s">
        <v>303</v>
      </c>
      <c r="Y256">
        <v>1</v>
      </c>
      <c r="Z256">
        <v>1.5</v>
      </c>
      <c r="AA256">
        <v>1702.06</v>
      </c>
      <c r="AB256">
        <v>130</v>
      </c>
      <c r="AC256">
        <v>0.69</v>
      </c>
      <c r="AD256">
        <v>0.13</v>
      </c>
      <c r="AE256">
        <v>0.15</v>
      </c>
      <c r="AF256">
        <v>0.09</v>
      </c>
      <c r="AG256">
        <v>1</v>
      </c>
      <c r="AH256">
        <v>0.69</v>
      </c>
      <c r="AI256">
        <v>0.69</v>
      </c>
      <c r="AJ256">
        <v>0.69</v>
      </c>
      <c r="AK256">
        <v>0.13</v>
      </c>
      <c r="AL256">
        <v>0.13</v>
      </c>
      <c r="AM256">
        <v>0.13</v>
      </c>
      <c r="AN256">
        <v>0.15</v>
      </c>
      <c r="AO256">
        <v>0.15</v>
      </c>
      <c r="AP256">
        <v>0.15</v>
      </c>
      <c r="AQ256">
        <v>1702.058368</v>
      </c>
      <c r="AR256">
        <v>0</v>
      </c>
      <c r="AS256">
        <f>_xlfn.XLOOKUP(B256,InstallDate!$H$2:$H$389,InstallDate!$BE$2:$BE$389)</f>
        <v>0</v>
      </c>
      <c r="AT256">
        <f t="shared" si="23"/>
        <v>0</v>
      </c>
      <c r="AU256">
        <f t="shared" si="21"/>
        <v>5.5408335340881715E-3</v>
      </c>
      <c r="AV256">
        <f t="shared" si="24"/>
        <v>0</v>
      </c>
      <c r="AW256">
        <f t="shared" si="25"/>
        <v>0</v>
      </c>
      <c r="AX256">
        <f t="shared" si="26"/>
        <v>0</v>
      </c>
      <c r="AY256">
        <f t="shared" si="27"/>
        <v>1</v>
      </c>
      <c r="AZ256">
        <f t="shared" si="22"/>
        <v>1</v>
      </c>
    </row>
    <row r="257" spans="1:52" x14ac:dyDescent="0.2">
      <c r="A257">
        <v>256</v>
      </c>
      <c r="B257" t="s">
        <v>304</v>
      </c>
      <c r="C257">
        <v>0</v>
      </c>
      <c r="H257" t="s">
        <v>304</v>
      </c>
      <c r="I257" t="s">
        <v>146</v>
      </c>
      <c r="Q257" t="s">
        <v>304</v>
      </c>
      <c r="R257">
        <v>39.32279715</v>
      </c>
      <c r="S257">
        <v>6</v>
      </c>
      <c r="T257">
        <v>130</v>
      </c>
      <c r="V257">
        <v>0</v>
      </c>
      <c r="W257">
        <v>0</v>
      </c>
      <c r="X257" t="s">
        <v>304</v>
      </c>
      <c r="Y257">
        <v>0</v>
      </c>
      <c r="Z257">
        <v>6</v>
      </c>
      <c r="AA257">
        <v>39.32</v>
      </c>
      <c r="AB257">
        <v>130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39.32279715</v>
      </c>
      <c r="AR257">
        <v>0</v>
      </c>
      <c r="AS257">
        <f>_xlfn.XLOOKUP(B257,InstallDate!$H$2:$H$389,InstallDate!$BE$2:$BE$389)</f>
        <v>0</v>
      </c>
      <c r="AT257">
        <f t="shared" si="23"/>
        <v>0</v>
      </c>
      <c r="AU257">
        <f t="shared" si="21"/>
        <v>0</v>
      </c>
      <c r="AV257">
        <f t="shared" si="24"/>
        <v>0</v>
      </c>
      <c r="AW257">
        <f t="shared" si="25"/>
        <v>0</v>
      </c>
      <c r="AX257">
        <f t="shared" si="26"/>
        <v>0</v>
      </c>
      <c r="AY257">
        <f t="shared" si="27"/>
        <v>1</v>
      </c>
      <c r="AZ257">
        <f t="shared" si="22"/>
        <v>1</v>
      </c>
    </row>
    <row r="258" spans="1:52" x14ac:dyDescent="0.2">
      <c r="A258">
        <v>257</v>
      </c>
      <c r="B258" t="s">
        <v>305</v>
      </c>
      <c r="C258">
        <v>0</v>
      </c>
      <c r="H258" t="s">
        <v>305</v>
      </c>
      <c r="I258" t="s">
        <v>146</v>
      </c>
      <c r="Q258" t="s">
        <v>305</v>
      </c>
      <c r="R258">
        <v>953.24641220000001</v>
      </c>
      <c r="S258">
        <v>6</v>
      </c>
      <c r="T258">
        <v>130</v>
      </c>
      <c r="V258">
        <v>0</v>
      </c>
      <c r="W258">
        <v>0</v>
      </c>
      <c r="X258" t="s">
        <v>305</v>
      </c>
      <c r="Y258">
        <v>0</v>
      </c>
      <c r="Z258">
        <v>6</v>
      </c>
      <c r="AA258">
        <v>953.25</v>
      </c>
      <c r="AB258">
        <v>130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953.24641220000001</v>
      </c>
      <c r="AR258">
        <v>0</v>
      </c>
      <c r="AS258">
        <f>_xlfn.XLOOKUP(B258,InstallDate!$H$2:$H$389,InstallDate!$BE$2:$BE$389)</f>
        <v>0</v>
      </c>
      <c r="AT258">
        <f t="shared" si="23"/>
        <v>0</v>
      </c>
      <c r="AU258">
        <f t="shared" ref="AU258:AU321" si="28">AC258/MAX($AC$2:$AC$389)</f>
        <v>0</v>
      </c>
      <c r="AV258">
        <f t="shared" si="24"/>
        <v>0</v>
      </c>
      <c r="AW258">
        <f t="shared" si="25"/>
        <v>0</v>
      </c>
      <c r="AX258">
        <f t="shared" si="26"/>
        <v>0</v>
      </c>
      <c r="AY258">
        <f t="shared" si="27"/>
        <v>1</v>
      </c>
      <c r="AZ258">
        <f t="shared" ref="AZ258:AZ321" si="29">IF(AND(MAX(AV258:AY258)&gt;2,AS258=1),3,IF(AND(MAX(AV258:AY258)&lt;=2,AS258=1),2,IF(AND(MAX(AV258:AY258)&gt;1,AS258=0),2,1)))</f>
        <v>1</v>
      </c>
    </row>
    <row r="259" spans="1:52" x14ac:dyDescent="0.2">
      <c r="A259">
        <v>258</v>
      </c>
      <c r="B259" t="s">
        <v>306</v>
      </c>
      <c r="C259">
        <v>0</v>
      </c>
      <c r="H259" t="s">
        <v>306</v>
      </c>
      <c r="I259" t="s">
        <v>148</v>
      </c>
      <c r="Q259" t="s">
        <v>306</v>
      </c>
      <c r="R259">
        <v>30.705258449999999</v>
      </c>
      <c r="S259">
        <v>6</v>
      </c>
      <c r="T259">
        <v>130</v>
      </c>
      <c r="V259">
        <v>0</v>
      </c>
      <c r="W259">
        <v>0</v>
      </c>
      <c r="X259" t="s">
        <v>306</v>
      </c>
      <c r="Y259">
        <v>-1</v>
      </c>
      <c r="Z259">
        <v>6</v>
      </c>
      <c r="AA259">
        <v>30.71</v>
      </c>
      <c r="AB259">
        <v>130</v>
      </c>
      <c r="AC259">
        <v>12.33</v>
      </c>
      <c r="AD259">
        <v>0.14000000000000001</v>
      </c>
      <c r="AE259">
        <v>0</v>
      </c>
      <c r="AF259">
        <v>0.02</v>
      </c>
      <c r="AG259">
        <v>1</v>
      </c>
      <c r="AH259">
        <v>12.33</v>
      </c>
      <c r="AI259">
        <v>12.33</v>
      </c>
      <c r="AJ259">
        <v>12.33</v>
      </c>
      <c r="AK259">
        <v>0.14000000000000001</v>
      </c>
      <c r="AL259">
        <v>0.14000000000000001</v>
      </c>
      <c r="AM259">
        <v>0.14000000000000001</v>
      </c>
      <c r="AN259">
        <v>0</v>
      </c>
      <c r="AO259">
        <v>0</v>
      </c>
      <c r="AP259">
        <v>0</v>
      </c>
      <c r="AQ259">
        <v>30.705258449999999</v>
      </c>
      <c r="AR259">
        <v>1</v>
      </c>
      <c r="AS259">
        <f>_xlfn.XLOOKUP(B259,InstallDate!$H$2:$H$389,InstallDate!$BE$2:$BE$389)</f>
        <v>1</v>
      </c>
      <c r="AT259">
        <f t="shared" ref="AT259:AT322" si="30">IF(COUNTIF(AR259:AS259,1)=0,0,SUM(AR259:AS259)/COUNTIF(AR259:AS259,1))</f>
        <v>1</v>
      </c>
      <c r="AU259">
        <f t="shared" si="28"/>
        <v>9.9012286196097324E-2</v>
      </c>
      <c r="AV259">
        <f t="shared" ref="AV259:AV322" si="31">IF($AU259&gt;=_xlfn.PERCENTILE.INC($AU$2:$AU$369,AV$1),4,0)</f>
        <v>0</v>
      </c>
      <c r="AW259">
        <f t="shared" ref="AW259:AW322" si="32">IF($AU259&gt;=_xlfn.PERCENTILE.INC($AU$2:$AU$369,AW$1),3,0)</f>
        <v>0</v>
      </c>
      <c r="AX259">
        <f t="shared" ref="AX259:AX322" si="33">IF($AU259&gt;=_xlfn.PERCENTILE.INC($AU$2:$AU$369,AX$1),2,0)</f>
        <v>2</v>
      </c>
      <c r="AY259">
        <f t="shared" ref="AY259:AY322" si="34">IF(SUM(AV259:AX259)&lt;1,1,0)</f>
        <v>0</v>
      </c>
      <c r="AZ259">
        <f t="shared" si="29"/>
        <v>2</v>
      </c>
    </row>
    <row r="260" spans="1:52" x14ac:dyDescent="0.2">
      <c r="A260">
        <v>259</v>
      </c>
      <c r="B260" t="s">
        <v>307</v>
      </c>
      <c r="C260">
        <v>0</v>
      </c>
      <c r="H260" t="s">
        <v>307</v>
      </c>
      <c r="I260" t="s">
        <v>148</v>
      </c>
      <c r="Q260" t="s">
        <v>307</v>
      </c>
      <c r="R260">
        <v>372.37186200000002</v>
      </c>
      <c r="S260">
        <v>6</v>
      </c>
      <c r="T260">
        <v>130</v>
      </c>
      <c r="V260">
        <v>0</v>
      </c>
      <c r="W260">
        <v>0</v>
      </c>
      <c r="X260" t="s">
        <v>307</v>
      </c>
      <c r="Y260">
        <v>-1</v>
      </c>
      <c r="Z260">
        <v>6</v>
      </c>
      <c r="AA260">
        <v>372.37</v>
      </c>
      <c r="AB260">
        <v>130</v>
      </c>
      <c r="AC260">
        <v>12.33</v>
      </c>
      <c r="AD260">
        <v>0.14000000000000001</v>
      </c>
      <c r="AE260">
        <v>0.01</v>
      </c>
      <c r="AF260">
        <v>0.02</v>
      </c>
      <c r="AG260">
        <v>1</v>
      </c>
      <c r="AH260">
        <v>12.33</v>
      </c>
      <c r="AI260">
        <v>12.33</v>
      </c>
      <c r="AJ260">
        <v>12.33</v>
      </c>
      <c r="AK260">
        <v>0.14000000000000001</v>
      </c>
      <c r="AL260">
        <v>0.14000000000000001</v>
      </c>
      <c r="AM260">
        <v>0.14000000000000001</v>
      </c>
      <c r="AN260">
        <v>0.01</v>
      </c>
      <c r="AO260">
        <v>0.01</v>
      </c>
      <c r="AP260">
        <v>0.01</v>
      </c>
      <c r="AQ260">
        <v>372.37186200000002</v>
      </c>
      <c r="AR260">
        <v>1</v>
      </c>
      <c r="AS260">
        <f>_xlfn.XLOOKUP(B260,InstallDate!$H$2:$H$389,InstallDate!$BE$2:$BE$389)</f>
        <v>0</v>
      </c>
      <c r="AT260">
        <f t="shared" si="30"/>
        <v>1</v>
      </c>
      <c r="AU260">
        <f t="shared" si="28"/>
        <v>9.9012286196097324E-2</v>
      </c>
      <c r="AV260">
        <f t="shared" si="31"/>
        <v>0</v>
      </c>
      <c r="AW260">
        <f t="shared" si="32"/>
        <v>0</v>
      </c>
      <c r="AX260">
        <f t="shared" si="33"/>
        <v>2</v>
      </c>
      <c r="AY260">
        <f t="shared" si="34"/>
        <v>0</v>
      </c>
      <c r="AZ260">
        <f t="shared" si="29"/>
        <v>2</v>
      </c>
    </row>
    <row r="261" spans="1:52" x14ac:dyDescent="0.2">
      <c r="A261">
        <v>260</v>
      </c>
      <c r="B261" t="s">
        <v>308</v>
      </c>
      <c r="C261">
        <v>0</v>
      </c>
      <c r="H261" t="s">
        <v>308</v>
      </c>
      <c r="I261" t="s">
        <v>146</v>
      </c>
      <c r="Q261" t="s">
        <v>308</v>
      </c>
      <c r="R261">
        <v>422.59503890000002</v>
      </c>
      <c r="S261">
        <v>2</v>
      </c>
      <c r="T261">
        <v>130</v>
      </c>
      <c r="V261">
        <v>0</v>
      </c>
      <c r="W261">
        <v>0</v>
      </c>
      <c r="X261" t="s">
        <v>308</v>
      </c>
      <c r="Y261">
        <v>0</v>
      </c>
      <c r="Z261">
        <v>2</v>
      </c>
      <c r="AA261">
        <v>422.6</v>
      </c>
      <c r="AB261">
        <v>130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422.59503890000002</v>
      </c>
      <c r="AR261">
        <v>0</v>
      </c>
      <c r="AS261">
        <f>_xlfn.XLOOKUP(B261,InstallDate!$H$2:$H$389,InstallDate!$BE$2:$BE$389)</f>
        <v>0</v>
      </c>
      <c r="AT261">
        <f t="shared" si="30"/>
        <v>0</v>
      </c>
      <c r="AU261">
        <f t="shared" si="28"/>
        <v>0</v>
      </c>
      <c r="AV261">
        <f t="shared" si="31"/>
        <v>0</v>
      </c>
      <c r="AW261">
        <f t="shared" si="32"/>
        <v>0</v>
      </c>
      <c r="AX261">
        <f t="shared" si="33"/>
        <v>0</v>
      </c>
      <c r="AY261">
        <f t="shared" si="34"/>
        <v>1</v>
      </c>
      <c r="AZ261">
        <f t="shared" si="29"/>
        <v>1</v>
      </c>
    </row>
    <row r="262" spans="1:52" x14ac:dyDescent="0.2">
      <c r="A262">
        <v>261</v>
      </c>
      <c r="B262" t="s">
        <v>309</v>
      </c>
      <c r="C262">
        <v>0</v>
      </c>
      <c r="H262" t="s">
        <v>309</v>
      </c>
      <c r="I262" t="s">
        <v>310</v>
      </c>
      <c r="Q262" t="s">
        <v>309</v>
      </c>
      <c r="R262">
        <v>25.228003210000001</v>
      </c>
      <c r="S262">
        <v>8</v>
      </c>
      <c r="T262">
        <v>130</v>
      </c>
      <c r="V262">
        <v>0</v>
      </c>
      <c r="W262">
        <v>0</v>
      </c>
      <c r="X262" t="s">
        <v>309</v>
      </c>
      <c r="Y262">
        <v>1</v>
      </c>
      <c r="Z262">
        <v>8</v>
      </c>
      <c r="AA262">
        <v>25.23</v>
      </c>
      <c r="AB262">
        <v>130</v>
      </c>
      <c r="AC262">
        <v>48.18</v>
      </c>
      <c r="AD262">
        <v>0.31</v>
      </c>
      <c r="AE262">
        <v>0</v>
      </c>
      <c r="AF262">
        <v>7.0000000000000007E-2</v>
      </c>
      <c r="AG262">
        <v>1</v>
      </c>
      <c r="AH262">
        <v>48.18</v>
      </c>
      <c r="AI262">
        <v>48.18</v>
      </c>
      <c r="AJ262">
        <v>48.18</v>
      </c>
      <c r="AK262">
        <v>0.31</v>
      </c>
      <c r="AL262">
        <v>0.31</v>
      </c>
      <c r="AM262">
        <v>0.31</v>
      </c>
      <c r="AN262">
        <v>0</v>
      </c>
      <c r="AO262">
        <v>0</v>
      </c>
      <c r="AP262">
        <v>0</v>
      </c>
      <c r="AQ262">
        <v>25.228003210000001</v>
      </c>
      <c r="AR262">
        <v>0</v>
      </c>
      <c r="AS262">
        <f>_xlfn.XLOOKUP(B262,InstallDate!$H$2:$H$389,InstallDate!$BE$2:$BE$389)</f>
        <v>1</v>
      </c>
      <c r="AT262">
        <f t="shared" si="30"/>
        <v>1</v>
      </c>
      <c r="AU262">
        <f t="shared" si="28"/>
        <v>0.38689472416285231</v>
      </c>
      <c r="AV262">
        <f t="shared" si="31"/>
        <v>4</v>
      </c>
      <c r="AW262">
        <f t="shared" si="32"/>
        <v>3</v>
      </c>
      <c r="AX262">
        <f t="shared" si="33"/>
        <v>2</v>
      </c>
      <c r="AY262">
        <f t="shared" si="34"/>
        <v>0</v>
      </c>
      <c r="AZ262">
        <f t="shared" si="29"/>
        <v>3</v>
      </c>
    </row>
    <row r="263" spans="1:52" x14ac:dyDescent="0.2">
      <c r="A263">
        <v>262</v>
      </c>
      <c r="B263" t="s">
        <v>311</v>
      </c>
      <c r="C263">
        <v>0</v>
      </c>
      <c r="H263" t="s">
        <v>311</v>
      </c>
      <c r="Q263" t="s">
        <v>311</v>
      </c>
      <c r="R263">
        <v>180</v>
      </c>
      <c r="S263">
        <v>8</v>
      </c>
      <c r="T263">
        <v>130</v>
      </c>
      <c r="U263">
        <v>0</v>
      </c>
      <c r="V263">
        <v>0</v>
      </c>
      <c r="W263">
        <v>0</v>
      </c>
      <c r="X263" t="s">
        <v>311</v>
      </c>
      <c r="Y263">
        <v>-1</v>
      </c>
      <c r="Z263">
        <v>8</v>
      </c>
      <c r="AA263">
        <v>180</v>
      </c>
      <c r="AB263">
        <v>130</v>
      </c>
      <c r="AC263">
        <v>48.18</v>
      </c>
      <c r="AD263">
        <v>0.31</v>
      </c>
      <c r="AE263">
        <v>0.01</v>
      </c>
      <c r="AF263">
        <v>7.0000000000000007E-2</v>
      </c>
      <c r="AG263">
        <v>1</v>
      </c>
      <c r="AH263">
        <v>48.18</v>
      </c>
      <c r="AI263">
        <v>48.18</v>
      </c>
      <c r="AJ263">
        <v>48.18</v>
      </c>
      <c r="AK263">
        <v>0.31</v>
      </c>
      <c r="AL263">
        <v>0.31</v>
      </c>
      <c r="AM263">
        <v>0.31</v>
      </c>
      <c r="AN263">
        <v>0.01</v>
      </c>
      <c r="AO263">
        <v>0.01</v>
      </c>
      <c r="AP263">
        <v>0.01</v>
      </c>
      <c r="AQ263">
        <v>170.8754544</v>
      </c>
      <c r="AR263">
        <v>0</v>
      </c>
      <c r="AS263">
        <f>_xlfn.XLOOKUP(B263,InstallDate!$H$2:$H$389,InstallDate!$BE$2:$BE$389)</f>
        <v>0</v>
      </c>
      <c r="AT263">
        <f t="shared" si="30"/>
        <v>0</v>
      </c>
      <c r="AU263">
        <f t="shared" si="28"/>
        <v>0.38689472416285231</v>
      </c>
      <c r="AV263">
        <f t="shared" si="31"/>
        <v>4</v>
      </c>
      <c r="AW263">
        <f t="shared" si="32"/>
        <v>3</v>
      </c>
      <c r="AX263">
        <f t="shared" si="33"/>
        <v>2</v>
      </c>
      <c r="AY263">
        <f t="shared" si="34"/>
        <v>0</v>
      </c>
      <c r="AZ263">
        <f t="shared" si="29"/>
        <v>2</v>
      </c>
    </row>
    <row r="264" spans="1:52" x14ac:dyDescent="0.2">
      <c r="A264">
        <v>263</v>
      </c>
      <c r="B264" t="s">
        <v>312</v>
      </c>
      <c r="C264">
        <v>0</v>
      </c>
      <c r="H264" t="s">
        <v>312</v>
      </c>
      <c r="I264" t="s">
        <v>148</v>
      </c>
      <c r="Q264" t="s">
        <v>312</v>
      </c>
      <c r="R264">
        <v>125.4573384</v>
      </c>
      <c r="S264">
        <v>6</v>
      </c>
      <c r="T264">
        <v>130</v>
      </c>
      <c r="V264">
        <v>0</v>
      </c>
      <c r="W264">
        <v>0</v>
      </c>
      <c r="X264" t="s">
        <v>312</v>
      </c>
      <c r="Y264">
        <v>0</v>
      </c>
      <c r="Z264">
        <v>6</v>
      </c>
      <c r="AA264">
        <v>125.46</v>
      </c>
      <c r="AB264">
        <v>130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125.4573384</v>
      </c>
      <c r="AR264">
        <v>0</v>
      </c>
      <c r="AS264">
        <f>_xlfn.XLOOKUP(B264,InstallDate!$H$2:$H$389,InstallDate!$BE$2:$BE$389)</f>
        <v>0</v>
      </c>
      <c r="AT264">
        <f t="shared" si="30"/>
        <v>0</v>
      </c>
      <c r="AU264">
        <f t="shared" si="28"/>
        <v>0</v>
      </c>
      <c r="AV264">
        <f t="shared" si="31"/>
        <v>0</v>
      </c>
      <c r="AW264">
        <f t="shared" si="32"/>
        <v>0</v>
      </c>
      <c r="AX264">
        <f t="shared" si="33"/>
        <v>0</v>
      </c>
      <c r="AY264">
        <f t="shared" si="34"/>
        <v>1</v>
      </c>
      <c r="AZ264">
        <f t="shared" si="29"/>
        <v>1</v>
      </c>
    </row>
    <row r="265" spans="1:52" x14ac:dyDescent="0.2">
      <c r="A265">
        <v>264</v>
      </c>
      <c r="B265" t="s">
        <v>313</v>
      </c>
      <c r="C265">
        <v>0</v>
      </c>
      <c r="H265" t="s">
        <v>313</v>
      </c>
      <c r="I265" t="s">
        <v>45</v>
      </c>
      <c r="Q265" t="s">
        <v>313</v>
      </c>
      <c r="R265">
        <v>172.4636964</v>
      </c>
      <c r="S265">
        <v>8</v>
      </c>
      <c r="T265">
        <v>130</v>
      </c>
      <c r="V265">
        <v>0</v>
      </c>
      <c r="W265">
        <v>0</v>
      </c>
      <c r="X265" t="s">
        <v>313</v>
      </c>
      <c r="Y265">
        <v>0</v>
      </c>
      <c r="Z265">
        <v>8</v>
      </c>
      <c r="AA265">
        <v>172.46</v>
      </c>
      <c r="AB265">
        <v>130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172.4636964</v>
      </c>
      <c r="AR265">
        <v>0</v>
      </c>
      <c r="AS265">
        <f>_xlfn.XLOOKUP(B265,InstallDate!$H$2:$H$389,InstallDate!$BE$2:$BE$389)</f>
        <v>1</v>
      </c>
      <c r="AT265">
        <f t="shared" si="30"/>
        <v>1</v>
      </c>
      <c r="AU265">
        <f t="shared" si="28"/>
        <v>0</v>
      </c>
      <c r="AV265">
        <f t="shared" si="31"/>
        <v>0</v>
      </c>
      <c r="AW265">
        <f t="shared" si="32"/>
        <v>0</v>
      </c>
      <c r="AX265">
        <f t="shared" si="33"/>
        <v>0</v>
      </c>
      <c r="AY265">
        <f t="shared" si="34"/>
        <v>1</v>
      </c>
      <c r="AZ265">
        <f t="shared" si="29"/>
        <v>2</v>
      </c>
    </row>
    <row r="266" spans="1:52" x14ac:dyDescent="0.2">
      <c r="A266">
        <v>265</v>
      </c>
      <c r="B266" t="s">
        <v>314</v>
      </c>
      <c r="C266">
        <v>0</v>
      </c>
      <c r="H266" t="s">
        <v>314</v>
      </c>
      <c r="I266" t="s">
        <v>45</v>
      </c>
      <c r="Q266" t="s">
        <v>314</v>
      </c>
      <c r="R266">
        <v>135.56561360000001</v>
      </c>
      <c r="S266">
        <v>6</v>
      </c>
      <c r="T266">
        <v>130</v>
      </c>
      <c r="V266">
        <v>0</v>
      </c>
      <c r="W266">
        <v>0</v>
      </c>
      <c r="X266" t="s">
        <v>314</v>
      </c>
      <c r="Y266">
        <v>0</v>
      </c>
      <c r="Z266">
        <v>6</v>
      </c>
      <c r="AA266">
        <v>135.57</v>
      </c>
      <c r="AB266">
        <v>130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135.56561360000001</v>
      </c>
      <c r="AR266">
        <v>0</v>
      </c>
      <c r="AS266">
        <f>_xlfn.XLOOKUP(B266,InstallDate!$H$2:$H$389,InstallDate!$BE$2:$BE$389)</f>
        <v>0</v>
      </c>
      <c r="AT266">
        <f t="shared" si="30"/>
        <v>0</v>
      </c>
      <c r="AU266">
        <f t="shared" si="28"/>
        <v>0</v>
      </c>
      <c r="AV266">
        <f t="shared" si="31"/>
        <v>0</v>
      </c>
      <c r="AW266">
        <f t="shared" si="32"/>
        <v>0</v>
      </c>
      <c r="AX266">
        <f t="shared" si="33"/>
        <v>0</v>
      </c>
      <c r="AY266">
        <f t="shared" si="34"/>
        <v>1</v>
      </c>
      <c r="AZ266">
        <f t="shared" si="29"/>
        <v>1</v>
      </c>
    </row>
    <row r="267" spans="1:52" x14ac:dyDescent="0.2">
      <c r="A267">
        <v>266</v>
      </c>
      <c r="B267" t="s">
        <v>315</v>
      </c>
      <c r="C267">
        <v>0</v>
      </c>
      <c r="H267" t="s">
        <v>315</v>
      </c>
      <c r="I267" t="s">
        <v>158</v>
      </c>
      <c r="Q267" t="s">
        <v>315</v>
      </c>
      <c r="R267">
        <v>39.561407109999998</v>
      </c>
      <c r="S267">
        <v>6</v>
      </c>
      <c r="T267">
        <v>130</v>
      </c>
      <c r="V267">
        <v>0</v>
      </c>
      <c r="W267">
        <v>0</v>
      </c>
      <c r="X267" t="s">
        <v>315</v>
      </c>
      <c r="Y267">
        <v>1</v>
      </c>
      <c r="Z267">
        <v>6</v>
      </c>
      <c r="AA267">
        <v>39.56</v>
      </c>
      <c r="AB267">
        <v>130</v>
      </c>
      <c r="AC267">
        <v>1.1100000000000001</v>
      </c>
      <c r="AD267">
        <v>0.01</v>
      </c>
      <c r="AE267">
        <v>0</v>
      </c>
      <c r="AF267">
        <v>0</v>
      </c>
      <c r="AG267">
        <v>1</v>
      </c>
      <c r="AH267">
        <v>1.1100000000000001</v>
      </c>
      <c r="AI267">
        <v>1.1100000000000001</v>
      </c>
      <c r="AJ267">
        <v>1.1100000000000001</v>
      </c>
      <c r="AK267">
        <v>0.01</v>
      </c>
      <c r="AL267">
        <v>0.01</v>
      </c>
      <c r="AM267">
        <v>0.01</v>
      </c>
      <c r="AN267">
        <v>0</v>
      </c>
      <c r="AO267">
        <v>0</v>
      </c>
      <c r="AP267">
        <v>0</v>
      </c>
      <c r="AQ267">
        <v>39.561407109999998</v>
      </c>
      <c r="AR267">
        <v>0</v>
      </c>
      <c r="AS267">
        <f>_xlfn.XLOOKUP(B267,InstallDate!$H$2:$H$389,InstallDate!$BE$2:$BE$389)</f>
        <v>1</v>
      </c>
      <c r="AT267">
        <f t="shared" si="30"/>
        <v>1</v>
      </c>
      <c r="AU267">
        <f t="shared" si="28"/>
        <v>8.91351481570706E-3</v>
      </c>
      <c r="AV267">
        <f t="shared" si="31"/>
        <v>0</v>
      </c>
      <c r="AW267">
        <f t="shared" si="32"/>
        <v>0</v>
      </c>
      <c r="AX267">
        <f t="shared" si="33"/>
        <v>0</v>
      </c>
      <c r="AY267">
        <f t="shared" si="34"/>
        <v>1</v>
      </c>
      <c r="AZ267">
        <f t="shared" si="29"/>
        <v>2</v>
      </c>
    </row>
    <row r="268" spans="1:52" x14ac:dyDescent="0.2">
      <c r="A268">
        <v>267</v>
      </c>
      <c r="B268" t="s">
        <v>316</v>
      </c>
      <c r="C268">
        <v>0</v>
      </c>
      <c r="H268" t="s">
        <v>316</v>
      </c>
      <c r="I268" t="s">
        <v>158</v>
      </c>
      <c r="Q268" t="s">
        <v>316</v>
      </c>
      <c r="R268">
        <v>373.1850341</v>
      </c>
      <c r="S268">
        <v>6</v>
      </c>
      <c r="T268">
        <v>130</v>
      </c>
      <c r="V268">
        <v>0</v>
      </c>
      <c r="W268">
        <v>0</v>
      </c>
      <c r="X268" t="s">
        <v>316</v>
      </c>
      <c r="Y268">
        <v>1</v>
      </c>
      <c r="Z268">
        <v>6</v>
      </c>
      <c r="AA268">
        <v>373.19</v>
      </c>
      <c r="AB268">
        <v>130</v>
      </c>
      <c r="AC268">
        <v>1.1100000000000001</v>
      </c>
      <c r="AD268">
        <v>0.01</v>
      </c>
      <c r="AE268">
        <v>0</v>
      </c>
      <c r="AF268">
        <v>0</v>
      </c>
      <c r="AG268">
        <v>1</v>
      </c>
      <c r="AH268">
        <v>1.1100000000000001</v>
      </c>
      <c r="AI268">
        <v>1.1100000000000001</v>
      </c>
      <c r="AJ268">
        <v>1.1100000000000001</v>
      </c>
      <c r="AK268">
        <v>0.01</v>
      </c>
      <c r="AL268">
        <v>0.01</v>
      </c>
      <c r="AM268">
        <v>0.01</v>
      </c>
      <c r="AN268">
        <v>0</v>
      </c>
      <c r="AO268">
        <v>0</v>
      </c>
      <c r="AP268">
        <v>0</v>
      </c>
      <c r="AQ268">
        <v>373.1850341</v>
      </c>
      <c r="AR268">
        <v>0</v>
      </c>
      <c r="AS268">
        <f>_xlfn.XLOOKUP(B268,InstallDate!$H$2:$H$389,InstallDate!$BE$2:$BE$389)</f>
        <v>0</v>
      </c>
      <c r="AT268">
        <f t="shared" si="30"/>
        <v>0</v>
      </c>
      <c r="AU268">
        <f t="shared" si="28"/>
        <v>8.91351481570706E-3</v>
      </c>
      <c r="AV268">
        <f t="shared" si="31"/>
        <v>0</v>
      </c>
      <c r="AW268">
        <f t="shared" si="32"/>
        <v>0</v>
      </c>
      <c r="AX268">
        <f t="shared" si="33"/>
        <v>0</v>
      </c>
      <c r="AY268">
        <f t="shared" si="34"/>
        <v>1</v>
      </c>
      <c r="AZ268">
        <f t="shared" si="29"/>
        <v>1</v>
      </c>
    </row>
    <row r="269" spans="1:52" x14ac:dyDescent="0.2">
      <c r="A269">
        <v>268</v>
      </c>
      <c r="B269" t="s">
        <v>317</v>
      </c>
      <c r="C269">
        <v>0</v>
      </c>
      <c r="H269" t="s">
        <v>317</v>
      </c>
      <c r="I269" t="s">
        <v>158</v>
      </c>
      <c r="Q269" t="s">
        <v>317</v>
      </c>
      <c r="R269">
        <v>214.50755150000001</v>
      </c>
      <c r="S269">
        <v>6</v>
      </c>
      <c r="T269">
        <v>130</v>
      </c>
      <c r="V269">
        <v>0</v>
      </c>
      <c r="W269">
        <v>0</v>
      </c>
      <c r="X269" t="s">
        <v>317</v>
      </c>
      <c r="Y269">
        <v>1</v>
      </c>
      <c r="Z269">
        <v>6</v>
      </c>
      <c r="AA269">
        <v>214.51</v>
      </c>
      <c r="AB269">
        <v>130</v>
      </c>
      <c r="AC269">
        <v>0.14000000000000001</v>
      </c>
      <c r="AD269">
        <v>0</v>
      </c>
      <c r="AE269">
        <v>0</v>
      </c>
      <c r="AF269">
        <v>0</v>
      </c>
      <c r="AG269">
        <v>1</v>
      </c>
      <c r="AH269">
        <v>0.14000000000000001</v>
      </c>
      <c r="AI269">
        <v>0.14000000000000001</v>
      </c>
      <c r="AJ269">
        <v>0.14000000000000001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214.50755150000001</v>
      </c>
      <c r="AR269">
        <v>0</v>
      </c>
      <c r="AS269">
        <f>_xlfn.XLOOKUP(B269,InstallDate!$H$2:$H$389,InstallDate!$BE$2:$BE$389)</f>
        <v>0</v>
      </c>
      <c r="AT269">
        <f t="shared" si="30"/>
        <v>0</v>
      </c>
      <c r="AU269">
        <f t="shared" si="28"/>
        <v>1.1242270938729624E-3</v>
      </c>
      <c r="AV269">
        <f t="shared" si="31"/>
        <v>0</v>
      </c>
      <c r="AW269">
        <f t="shared" si="32"/>
        <v>0</v>
      </c>
      <c r="AX269">
        <f t="shared" si="33"/>
        <v>0</v>
      </c>
      <c r="AY269">
        <f t="shared" si="34"/>
        <v>1</v>
      </c>
      <c r="AZ269">
        <f t="shared" si="29"/>
        <v>1</v>
      </c>
    </row>
    <row r="270" spans="1:52" x14ac:dyDescent="0.2">
      <c r="A270">
        <v>269</v>
      </c>
      <c r="B270" t="s">
        <v>318</v>
      </c>
      <c r="C270">
        <v>0</v>
      </c>
      <c r="H270" t="s">
        <v>318</v>
      </c>
      <c r="I270" t="s">
        <v>158</v>
      </c>
      <c r="Q270" t="s">
        <v>318</v>
      </c>
      <c r="R270">
        <v>493.64195910000001</v>
      </c>
      <c r="S270">
        <v>6</v>
      </c>
      <c r="T270">
        <v>130</v>
      </c>
      <c r="V270">
        <v>0</v>
      </c>
      <c r="W270">
        <v>0</v>
      </c>
      <c r="X270" t="s">
        <v>318</v>
      </c>
      <c r="Y270">
        <v>0</v>
      </c>
      <c r="Z270">
        <v>6</v>
      </c>
      <c r="AA270">
        <v>493.64</v>
      </c>
      <c r="AB270">
        <v>130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493.64195910000001</v>
      </c>
      <c r="AR270">
        <v>0</v>
      </c>
      <c r="AS270">
        <f>_xlfn.XLOOKUP(B270,InstallDate!$H$2:$H$389,InstallDate!$BE$2:$BE$389)</f>
        <v>0</v>
      </c>
      <c r="AT270">
        <f t="shared" si="30"/>
        <v>0</v>
      </c>
      <c r="AU270">
        <f t="shared" si="28"/>
        <v>0</v>
      </c>
      <c r="AV270">
        <f t="shared" si="31"/>
        <v>0</v>
      </c>
      <c r="AW270">
        <f t="shared" si="32"/>
        <v>0</v>
      </c>
      <c r="AX270">
        <f t="shared" si="33"/>
        <v>0</v>
      </c>
      <c r="AY270">
        <f t="shared" si="34"/>
        <v>1</v>
      </c>
      <c r="AZ270">
        <f t="shared" si="29"/>
        <v>1</v>
      </c>
    </row>
    <row r="271" spans="1:52" x14ac:dyDescent="0.2">
      <c r="A271">
        <v>270</v>
      </c>
      <c r="B271" t="s">
        <v>319</v>
      </c>
      <c r="C271">
        <v>0</v>
      </c>
      <c r="H271" t="s">
        <v>319</v>
      </c>
      <c r="I271" t="s">
        <v>45</v>
      </c>
      <c r="Q271" t="s">
        <v>319</v>
      </c>
      <c r="R271">
        <v>887.94721070000003</v>
      </c>
      <c r="S271">
        <v>6</v>
      </c>
      <c r="T271">
        <v>130</v>
      </c>
      <c r="V271">
        <v>0</v>
      </c>
      <c r="W271">
        <v>0</v>
      </c>
      <c r="X271" t="s">
        <v>319</v>
      </c>
      <c r="Y271">
        <v>1</v>
      </c>
      <c r="Z271">
        <v>6</v>
      </c>
      <c r="AA271">
        <v>887.95</v>
      </c>
      <c r="AB271">
        <v>130</v>
      </c>
      <c r="AC271">
        <v>1.25</v>
      </c>
      <c r="AD271">
        <v>0.01</v>
      </c>
      <c r="AE271">
        <v>0</v>
      </c>
      <c r="AF271">
        <v>0</v>
      </c>
      <c r="AG271">
        <v>1</v>
      </c>
      <c r="AH271">
        <v>1.25</v>
      </c>
      <c r="AI271">
        <v>1.25</v>
      </c>
      <c r="AJ271">
        <v>1.25</v>
      </c>
      <c r="AK271">
        <v>0.01</v>
      </c>
      <c r="AL271">
        <v>0.01</v>
      </c>
      <c r="AM271">
        <v>0.01</v>
      </c>
      <c r="AN271">
        <v>0</v>
      </c>
      <c r="AO271">
        <v>0</v>
      </c>
      <c r="AP271">
        <v>0</v>
      </c>
      <c r="AQ271">
        <v>887.94721070000003</v>
      </c>
      <c r="AR271">
        <v>0</v>
      </c>
      <c r="AS271">
        <f>_xlfn.XLOOKUP(B271,InstallDate!$H$2:$H$389,InstallDate!$BE$2:$BE$389)</f>
        <v>0</v>
      </c>
      <c r="AT271">
        <f t="shared" si="30"/>
        <v>0</v>
      </c>
      <c r="AU271">
        <f t="shared" si="28"/>
        <v>1.003774190958002E-2</v>
      </c>
      <c r="AV271">
        <f t="shared" si="31"/>
        <v>0</v>
      </c>
      <c r="AW271">
        <f t="shared" si="32"/>
        <v>0</v>
      </c>
      <c r="AX271">
        <f t="shared" si="33"/>
        <v>0</v>
      </c>
      <c r="AY271">
        <f t="shared" si="34"/>
        <v>1</v>
      </c>
      <c r="AZ271">
        <f t="shared" si="29"/>
        <v>1</v>
      </c>
    </row>
    <row r="272" spans="1:52" x14ac:dyDescent="0.2">
      <c r="A272">
        <v>271</v>
      </c>
      <c r="B272" t="s">
        <v>320</v>
      </c>
      <c r="C272">
        <v>0</v>
      </c>
      <c r="H272" t="s">
        <v>320</v>
      </c>
      <c r="I272" t="s">
        <v>45</v>
      </c>
      <c r="Q272" t="s">
        <v>320</v>
      </c>
      <c r="R272">
        <v>58.095932589999997</v>
      </c>
      <c r="S272">
        <v>6</v>
      </c>
      <c r="T272">
        <v>130</v>
      </c>
      <c r="V272">
        <v>0</v>
      </c>
      <c r="W272">
        <v>0</v>
      </c>
      <c r="X272" t="s">
        <v>320</v>
      </c>
      <c r="Y272">
        <v>1</v>
      </c>
      <c r="Z272">
        <v>6</v>
      </c>
      <c r="AA272">
        <v>58.1</v>
      </c>
      <c r="AB272">
        <v>130</v>
      </c>
      <c r="AC272">
        <v>2.78</v>
      </c>
      <c r="AD272">
        <v>0.03</v>
      </c>
      <c r="AE272">
        <v>0</v>
      </c>
      <c r="AF272">
        <v>0</v>
      </c>
      <c r="AG272">
        <v>1</v>
      </c>
      <c r="AH272">
        <v>2.78</v>
      </c>
      <c r="AI272">
        <v>2.78</v>
      </c>
      <c r="AJ272">
        <v>2.78</v>
      </c>
      <c r="AK272">
        <v>0.03</v>
      </c>
      <c r="AL272">
        <v>0.03</v>
      </c>
      <c r="AM272">
        <v>0.03</v>
      </c>
      <c r="AN272">
        <v>0</v>
      </c>
      <c r="AO272">
        <v>0</v>
      </c>
      <c r="AP272">
        <v>0</v>
      </c>
      <c r="AQ272">
        <v>58.095932589999997</v>
      </c>
      <c r="AR272">
        <v>0</v>
      </c>
      <c r="AS272">
        <f>_xlfn.XLOOKUP(B272,InstallDate!$H$2:$H$389,InstallDate!$BE$2:$BE$389)</f>
        <v>0</v>
      </c>
      <c r="AT272">
        <f t="shared" si="30"/>
        <v>0</v>
      </c>
      <c r="AU272">
        <f t="shared" si="28"/>
        <v>2.2323938006905963E-2</v>
      </c>
      <c r="AV272">
        <f t="shared" si="31"/>
        <v>0</v>
      </c>
      <c r="AW272">
        <f t="shared" si="32"/>
        <v>0</v>
      </c>
      <c r="AX272">
        <f t="shared" si="33"/>
        <v>0</v>
      </c>
      <c r="AY272">
        <f t="shared" si="34"/>
        <v>1</v>
      </c>
      <c r="AZ272">
        <f t="shared" si="29"/>
        <v>1</v>
      </c>
    </row>
    <row r="273" spans="1:52" x14ac:dyDescent="0.2">
      <c r="A273">
        <v>272</v>
      </c>
      <c r="B273" t="s">
        <v>321</v>
      </c>
      <c r="C273">
        <v>0</v>
      </c>
      <c r="H273" t="s">
        <v>321</v>
      </c>
      <c r="I273" t="s">
        <v>45</v>
      </c>
      <c r="Q273" t="s">
        <v>321</v>
      </c>
      <c r="R273">
        <v>334.68279039999999</v>
      </c>
      <c r="S273">
        <v>6</v>
      </c>
      <c r="T273">
        <v>130</v>
      </c>
      <c r="V273">
        <v>0</v>
      </c>
      <c r="W273">
        <v>0</v>
      </c>
      <c r="X273" t="s">
        <v>321</v>
      </c>
      <c r="Y273">
        <v>1</v>
      </c>
      <c r="Z273">
        <v>6</v>
      </c>
      <c r="AA273">
        <v>334.68</v>
      </c>
      <c r="AB273">
        <v>130</v>
      </c>
      <c r="AC273">
        <v>2.78</v>
      </c>
      <c r="AD273">
        <v>0.03</v>
      </c>
      <c r="AE273">
        <v>0</v>
      </c>
      <c r="AF273">
        <v>0</v>
      </c>
      <c r="AG273">
        <v>1</v>
      </c>
      <c r="AH273">
        <v>2.78</v>
      </c>
      <c r="AI273">
        <v>2.78</v>
      </c>
      <c r="AJ273">
        <v>2.78</v>
      </c>
      <c r="AK273">
        <v>0.03</v>
      </c>
      <c r="AL273">
        <v>0.03</v>
      </c>
      <c r="AM273">
        <v>0.03</v>
      </c>
      <c r="AN273">
        <v>0</v>
      </c>
      <c r="AO273">
        <v>0</v>
      </c>
      <c r="AP273">
        <v>0</v>
      </c>
      <c r="AQ273">
        <v>334.68279039999999</v>
      </c>
      <c r="AR273">
        <v>0</v>
      </c>
      <c r="AS273">
        <f>_xlfn.XLOOKUP(B273,InstallDate!$H$2:$H$389,InstallDate!$BE$2:$BE$389)</f>
        <v>0</v>
      </c>
      <c r="AT273">
        <f t="shared" si="30"/>
        <v>0</v>
      </c>
      <c r="AU273">
        <f t="shared" si="28"/>
        <v>2.2323938006905963E-2</v>
      </c>
      <c r="AV273">
        <f t="shared" si="31"/>
        <v>0</v>
      </c>
      <c r="AW273">
        <f t="shared" si="32"/>
        <v>0</v>
      </c>
      <c r="AX273">
        <f t="shared" si="33"/>
        <v>0</v>
      </c>
      <c r="AY273">
        <f t="shared" si="34"/>
        <v>1</v>
      </c>
      <c r="AZ273">
        <f t="shared" si="29"/>
        <v>1</v>
      </c>
    </row>
    <row r="274" spans="1:52" x14ac:dyDescent="0.2">
      <c r="A274">
        <v>273</v>
      </c>
      <c r="B274" t="s">
        <v>322</v>
      </c>
      <c r="C274">
        <v>0</v>
      </c>
      <c r="H274" t="s">
        <v>322</v>
      </c>
      <c r="I274" t="s">
        <v>45</v>
      </c>
      <c r="Q274" t="s">
        <v>322</v>
      </c>
      <c r="R274">
        <v>129.4034125</v>
      </c>
      <c r="S274">
        <v>6</v>
      </c>
      <c r="T274">
        <v>130</v>
      </c>
      <c r="V274">
        <v>0</v>
      </c>
      <c r="W274">
        <v>0</v>
      </c>
      <c r="X274" t="s">
        <v>322</v>
      </c>
      <c r="Y274">
        <v>0</v>
      </c>
      <c r="Z274">
        <v>6</v>
      </c>
      <c r="AA274">
        <v>129.4</v>
      </c>
      <c r="AB274">
        <v>130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129.4034125</v>
      </c>
      <c r="AR274">
        <v>0</v>
      </c>
      <c r="AS274">
        <f>_xlfn.XLOOKUP(B274,InstallDate!$H$2:$H$389,InstallDate!$BE$2:$BE$389)</f>
        <v>0</v>
      </c>
      <c r="AT274">
        <f t="shared" si="30"/>
        <v>0</v>
      </c>
      <c r="AU274">
        <f t="shared" si="28"/>
        <v>0</v>
      </c>
      <c r="AV274">
        <f t="shared" si="31"/>
        <v>0</v>
      </c>
      <c r="AW274">
        <f t="shared" si="32"/>
        <v>0</v>
      </c>
      <c r="AX274">
        <f t="shared" si="33"/>
        <v>0</v>
      </c>
      <c r="AY274">
        <f t="shared" si="34"/>
        <v>1</v>
      </c>
      <c r="AZ274">
        <f t="shared" si="29"/>
        <v>1</v>
      </c>
    </row>
    <row r="275" spans="1:52" x14ac:dyDescent="0.2">
      <c r="A275">
        <v>274</v>
      </c>
      <c r="B275" t="s">
        <v>323</v>
      </c>
      <c r="C275">
        <v>0</v>
      </c>
      <c r="H275" t="s">
        <v>323</v>
      </c>
      <c r="I275" t="s">
        <v>45</v>
      </c>
      <c r="Q275" t="s">
        <v>323</v>
      </c>
      <c r="R275">
        <v>246.05344669999999</v>
      </c>
      <c r="S275">
        <v>6</v>
      </c>
      <c r="T275">
        <v>130</v>
      </c>
      <c r="V275">
        <v>0</v>
      </c>
      <c r="W275">
        <v>0</v>
      </c>
      <c r="X275" t="s">
        <v>323</v>
      </c>
      <c r="Y275">
        <v>1</v>
      </c>
      <c r="Z275">
        <v>6</v>
      </c>
      <c r="AA275">
        <v>246.05</v>
      </c>
      <c r="AB275">
        <v>130</v>
      </c>
      <c r="AC275">
        <v>0.14000000000000001</v>
      </c>
      <c r="AD275">
        <v>0</v>
      </c>
      <c r="AE275">
        <v>0</v>
      </c>
      <c r="AF275">
        <v>0</v>
      </c>
      <c r="AG275">
        <v>1</v>
      </c>
      <c r="AH275">
        <v>0.14000000000000001</v>
      </c>
      <c r="AI275">
        <v>0.14000000000000001</v>
      </c>
      <c r="AJ275">
        <v>0.14000000000000001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246.05344669999999</v>
      </c>
      <c r="AR275">
        <v>0</v>
      </c>
      <c r="AS275">
        <f>_xlfn.XLOOKUP(B275,InstallDate!$H$2:$H$389,InstallDate!$BE$2:$BE$389)</f>
        <v>0</v>
      </c>
      <c r="AT275">
        <f t="shared" si="30"/>
        <v>0</v>
      </c>
      <c r="AU275">
        <f t="shared" si="28"/>
        <v>1.1242270938729624E-3</v>
      </c>
      <c r="AV275">
        <f t="shared" si="31"/>
        <v>0</v>
      </c>
      <c r="AW275">
        <f t="shared" si="32"/>
        <v>0</v>
      </c>
      <c r="AX275">
        <f t="shared" si="33"/>
        <v>0</v>
      </c>
      <c r="AY275">
        <f t="shared" si="34"/>
        <v>1</v>
      </c>
      <c r="AZ275">
        <f t="shared" si="29"/>
        <v>1</v>
      </c>
    </row>
    <row r="276" spans="1:52" x14ac:dyDescent="0.2">
      <c r="A276">
        <v>275</v>
      </c>
      <c r="B276" t="s">
        <v>324</v>
      </c>
      <c r="C276">
        <v>0</v>
      </c>
      <c r="H276" t="s">
        <v>324</v>
      </c>
      <c r="I276" t="s">
        <v>45</v>
      </c>
      <c r="Q276" t="s">
        <v>324</v>
      </c>
      <c r="R276">
        <v>920.03331579999997</v>
      </c>
      <c r="S276">
        <v>6</v>
      </c>
      <c r="T276">
        <v>130</v>
      </c>
      <c r="V276">
        <v>0</v>
      </c>
      <c r="W276">
        <v>0</v>
      </c>
      <c r="X276" t="s">
        <v>324</v>
      </c>
      <c r="Y276">
        <v>-1</v>
      </c>
      <c r="Z276">
        <v>6</v>
      </c>
      <c r="AA276">
        <v>920.03</v>
      </c>
      <c r="AB276">
        <v>130</v>
      </c>
      <c r="AC276">
        <v>0.49</v>
      </c>
      <c r="AD276">
        <v>0.01</v>
      </c>
      <c r="AE276">
        <v>0</v>
      </c>
      <c r="AF276">
        <v>0</v>
      </c>
      <c r="AG276">
        <v>1</v>
      </c>
      <c r="AH276">
        <v>0.49</v>
      </c>
      <c r="AI276">
        <v>0.49</v>
      </c>
      <c r="AJ276">
        <v>0.49</v>
      </c>
      <c r="AK276">
        <v>0.01</v>
      </c>
      <c r="AL276">
        <v>0.01</v>
      </c>
      <c r="AM276">
        <v>0.01</v>
      </c>
      <c r="AN276">
        <v>0</v>
      </c>
      <c r="AO276">
        <v>0</v>
      </c>
      <c r="AP276">
        <v>0</v>
      </c>
      <c r="AQ276">
        <v>920.03331579999997</v>
      </c>
      <c r="AR276">
        <v>0</v>
      </c>
      <c r="AS276">
        <f>_xlfn.XLOOKUP(B276,InstallDate!$H$2:$H$389,InstallDate!$BE$2:$BE$389)</f>
        <v>0</v>
      </c>
      <c r="AT276">
        <f t="shared" si="30"/>
        <v>0</v>
      </c>
      <c r="AU276">
        <f t="shared" si="28"/>
        <v>3.9347948285553677E-3</v>
      </c>
      <c r="AV276">
        <f t="shared" si="31"/>
        <v>0</v>
      </c>
      <c r="AW276">
        <f t="shared" si="32"/>
        <v>0</v>
      </c>
      <c r="AX276">
        <f t="shared" si="33"/>
        <v>0</v>
      </c>
      <c r="AY276">
        <f t="shared" si="34"/>
        <v>1</v>
      </c>
      <c r="AZ276">
        <f t="shared" si="29"/>
        <v>1</v>
      </c>
    </row>
    <row r="277" spans="1:52" x14ac:dyDescent="0.2">
      <c r="A277">
        <v>276</v>
      </c>
      <c r="B277" t="s">
        <v>325</v>
      </c>
      <c r="C277">
        <v>0</v>
      </c>
      <c r="H277" t="s">
        <v>325</v>
      </c>
      <c r="I277" t="s">
        <v>45</v>
      </c>
      <c r="Q277" t="s">
        <v>325</v>
      </c>
      <c r="R277">
        <v>222.74998020000001</v>
      </c>
      <c r="S277">
        <v>6</v>
      </c>
      <c r="T277">
        <v>130</v>
      </c>
      <c r="V277">
        <v>0</v>
      </c>
      <c r="W277">
        <v>0</v>
      </c>
      <c r="X277" t="s">
        <v>325</v>
      </c>
      <c r="Y277">
        <v>-1</v>
      </c>
      <c r="Z277">
        <v>6</v>
      </c>
      <c r="AA277">
        <v>222.75</v>
      </c>
      <c r="AB277">
        <v>130</v>
      </c>
      <c r="AC277">
        <v>1.53</v>
      </c>
      <c r="AD277">
        <v>0.02</v>
      </c>
      <c r="AE277">
        <v>0</v>
      </c>
      <c r="AF277">
        <v>0</v>
      </c>
      <c r="AG277">
        <v>1</v>
      </c>
      <c r="AH277">
        <v>1.53</v>
      </c>
      <c r="AI277">
        <v>1.53</v>
      </c>
      <c r="AJ277">
        <v>1.53</v>
      </c>
      <c r="AK277">
        <v>0.02</v>
      </c>
      <c r="AL277">
        <v>0.02</v>
      </c>
      <c r="AM277">
        <v>0.02</v>
      </c>
      <c r="AN277">
        <v>0</v>
      </c>
      <c r="AO277">
        <v>0</v>
      </c>
      <c r="AP277">
        <v>0</v>
      </c>
      <c r="AQ277">
        <v>222.74998020000001</v>
      </c>
      <c r="AR277">
        <v>0</v>
      </c>
      <c r="AS277">
        <f>_xlfn.XLOOKUP(B277,InstallDate!$H$2:$H$389,InstallDate!$BE$2:$BE$389)</f>
        <v>0</v>
      </c>
      <c r="AT277">
        <f t="shared" si="30"/>
        <v>0</v>
      </c>
      <c r="AU277">
        <f t="shared" si="28"/>
        <v>1.2286196097325945E-2</v>
      </c>
      <c r="AV277">
        <f t="shared" si="31"/>
        <v>0</v>
      </c>
      <c r="AW277">
        <f t="shared" si="32"/>
        <v>0</v>
      </c>
      <c r="AX277">
        <f t="shared" si="33"/>
        <v>0</v>
      </c>
      <c r="AY277">
        <f t="shared" si="34"/>
        <v>1</v>
      </c>
      <c r="AZ277">
        <f t="shared" si="29"/>
        <v>1</v>
      </c>
    </row>
    <row r="278" spans="1:52" x14ac:dyDescent="0.2">
      <c r="A278">
        <v>277</v>
      </c>
      <c r="B278" t="s">
        <v>326</v>
      </c>
      <c r="C278">
        <v>0</v>
      </c>
      <c r="H278" t="s">
        <v>326</v>
      </c>
      <c r="I278" t="s">
        <v>45</v>
      </c>
      <c r="Q278" t="s">
        <v>326</v>
      </c>
      <c r="R278">
        <v>507.56867110000002</v>
      </c>
      <c r="S278">
        <v>6</v>
      </c>
      <c r="T278">
        <v>130</v>
      </c>
      <c r="V278">
        <v>0</v>
      </c>
      <c r="W278">
        <v>0</v>
      </c>
      <c r="X278" t="s">
        <v>326</v>
      </c>
      <c r="Y278">
        <v>-1</v>
      </c>
      <c r="Z278">
        <v>6</v>
      </c>
      <c r="AA278">
        <v>507.57</v>
      </c>
      <c r="AB278">
        <v>130</v>
      </c>
      <c r="AC278">
        <v>4.42</v>
      </c>
      <c r="AD278">
        <v>0.05</v>
      </c>
      <c r="AE278">
        <v>0</v>
      </c>
      <c r="AF278">
        <v>0</v>
      </c>
      <c r="AG278">
        <v>1</v>
      </c>
      <c r="AH278">
        <v>4.42</v>
      </c>
      <c r="AI278">
        <v>4.42</v>
      </c>
      <c r="AJ278">
        <v>4.42</v>
      </c>
      <c r="AK278">
        <v>0.05</v>
      </c>
      <c r="AL278">
        <v>0.05</v>
      </c>
      <c r="AM278">
        <v>0.05</v>
      </c>
      <c r="AN278">
        <v>0</v>
      </c>
      <c r="AO278">
        <v>0</v>
      </c>
      <c r="AP278">
        <v>0</v>
      </c>
      <c r="AQ278">
        <v>507.56867110000002</v>
      </c>
      <c r="AR278">
        <v>0</v>
      </c>
      <c r="AS278">
        <f>_xlfn.XLOOKUP(B278,InstallDate!$H$2:$H$389,InstallDate!$BE$2:$BE$389)</f>
        <v>0</v>
      </c>
      <c r="AT278">
        <f t="shared" si="30"/>
        <v>0</v>
      </c>
      <c r="AU278">
        <f t="shared" si="28"/>
        <v>3.5493455392274956E-2</v>
      </c>
      <c r="AV278">
        <f t="shared" si="31"/>
        <v>0</v>
      </c>
      <c r="AW278">
        <f t="shared" si="32"/>
        <v>0</v>
      </c>
      <c r="AX278">
        <f t="shared" si="33"/>
        <v>2</v>
      </c>
      <c r="AY278">
        <f t="shared" si="34"/>
        <v>0</v>
      </c>
      <c r="AZ278">
        <f t="shared" si="29"/>
        <v>2</v>
      </c>
    </row>
    <row r="279" spans="1:52" x14ac:dyDescent="0.2">
      <c r="A279">
        <v>278</v>
      </c>
      <c r="B279" t="s">
        <v>327</v>
      </c>
      <c r="C279">
        <v>0</v>
      </c>
      <c r="H279" t="s">
        <v>327</v>
      </c>
      <c r="I279" t="s">
        <v>45</v>
      </c>
      <c r="Q279" t="s">
        <v>327</v>
      </c>
      <c r="R279">
        <v>1378.99118</v>
      </c>
      <c r="S279">
        <v>6</v>
      </c>
      <c r="T279">
        <v>130</v>
      </c>
      <c r="V279">
        <v>0</v>
      </c>
      <c r="W279">
        <v>0</v>
      </c>
      <c r="X279" t="s">
        <v>327</v>
      </c>
      <c r="Y279">
        <v>-1</v>
      </c>
      <c r="Z279">
        <v>6</v>
      </c>
      <c r="AA279">
        <v>1378.99</v>
      </c>
      <c r="AB279">
        <v>130</v>
      </c>
      <c r="AC279">
        <v>8.4600000000000009</v>
      </c>
      <c r="AD279">
        <v>0.1</v>
      </c>
      <c r="AE279">
        <v>0.01</v>
      </c>
      <c r="AF279">
        <v>0.01</v>
      </c>
      <c r="AG279">
        <v>1</v>
      </c>
      <c r="AH279">
        <v>8.4600000000000009</v>
      </c>
      <c r="AI279">
        <v>8.4600000000000009</v>
      </c>
      <c r="AJ279">
        <v>8.4600000000000009</v>
      </c>
      <c r="AK279">
        <v>0.1</v>
      </c>
      <c r="AL279">
        <v>0.1</v>
      </c>
      <c r="AM279">
        <v>0.1</v>
      </c>
      <c r="AN279">
        <v>0.01</v>
      </c>
      <c r="AO279">
        <v>0.01</v>
      </c>
      <c r="AP279">
        <v>0.01</v>
      </c>
      <c r="AQ279">
        <v>1378.99118</v>
      </c>
      <c r="AR279">
        <v>0</v>
      </c>
      <c r="AS279">
        <f>_xlfn.XLOOKUP(B279,InstallDate!$H$2:$H$389,InstallDate!$BE$2:$BE$389)</f>
        <v>0</v>
      </c>
      <c r="AT279">
        <f t="shared" si="30"/>
        <v>0</v>
      </c>
      <c r="AU279">
        <f t="shared" si="28"/>
        <v>6.7935437244037583E-2</v>
      </c>
      <c r="AV279">
        <f t="shared" si="31"/>
        <v>0</v>
      </c>
      <c r="AW279">
        <f t="shared" si="32"/>
        <v>0</v>
      </c>
      <c r="AX279">
        <f t="shared" si="33"/>
        <v>2</v>
      </c>
      <c r="AY279">
        <f t="shared" si="34"/>
        <v>0</v>
      </c>
      <c r="AZ279">
        <f t="shared" si="29"/>
        <v>2</v>
      </c>
    </row>
    <row r="280" spans="1:52" x14ac:dyDescent="0.2">
      <c r="A280">
        <v>279</v>
      </c>
      <c r="B280" t="s">
        <v>328</v>
      </c>
      <c r="C280">
        <v>0</v>
      </c>
      <c r="H280" t="s">
        <v>328</v>
      </c>
      <c r="I280" t="s">
        <v>45</v>
      </c>
      <c r="Q280" t="s">
        <v>328</v>
      </c>
      <c r="R280">
        <v>822.00287509999998</v>
      </c>
      <c r="S280">
        <v>6</v>
      </c>
      <c r="T280">
        <v>130</v>
      </c>
      <c r="V280">
        <v>0</v>
      </c>
      <c r="W280">
        <v>0</v>
      </c>
      <c r="X280" t="s">
        <v>328</v>
      </c>
      <c r="Y280">
        <v>-1</v>
      </c>
      <c r="Z280">
        <v>6</v>
      </c>
      <c r="AA280">
        <v>822</v>
      </c>
      <c r="AB280">
        <v>130</v>
      </c>
      <c r="AC280">
        <v>6.18</v>
      </c>
      <c r="AD280">
        <v>7.0000000000000007E-2</v>
      </c>
      <c r="AE280">
        <v>0</v>
      </c>
      <c r="AF280">
        <v>0.01</v>
      </c>
      <c r="AG280">
        <v>1</v>
      </c>
      <c r="AH280">
        <v>6.18</v>
      </c>
      <c r="AI280">
        <v>6.18</v>
      </c>
      <c r="AJ280">
        <v>6.18</v>
      </c>
      <c r="AK280">
        <v>7.0000000000000007E-2</v>
      </c>
      <c r="AL280">
        <v>7.0000000000000007E-2</v>
      </c>
      <c r="AM280">
        <v>7.0000000000000007E-2</v>
      </c>
      <c r="AN280">
        <v>0</v>
      </c>
      <c r="AO280">
        <v>0</v>
      </c>
      <c r="AP280">
        <v>0</v>
      </c>
      <c r="AQ280">
        <v>822.00287509999998</v>
      </c>
      <c r="AR280">
        <v>0</v>
      </c>
      <c r="AS280">
        <f>_xlfn.XLOOKUP(B280,InstallDate!$H$2:$H$389,InstallDate!$BE$2:$BE$389)</f>
        <v>0</v>
      </c>
      <c r="AT280">
        <f t="shared" si="30"/>
        <v>0</v>
      </c>
      <c r="AU280">
        <f t="shared" si="28"/>
        <v>4.962659600096362E-2</v>
      </c>
      <c r="AV280">
        <f t="shared" si="31"/>
        <v>0</v>
      </c>
      <c r="AW280">
        <f t="shared" si="32"/>
        <v>0</v>
      </c>
      <c r="AX280">
        <f t="shared" si="33"/>
        <v>2</v>
      </c>
      <c r="AY280">
        <f t="shared" si="34"/>
        <v>0</v>
      </c>
      <c r="AZ280">
        <f t="shared" si="29"/>
        <v>2</v>
      </c>
    </row>
    <row r="281" spans="1:52" x14ac:dyDescent="0.2">
      <c r="A281">
        <v>280</v>
      </c>
      <c r="B281" t="s">
        <v>329</v>
      </c>
      <c r="C281">
        <v>0</v>
      </c>
      <c r="H281" t="s">
        <v>329</v>
      </c>
      <c r="I281" t="s">
        <v>45</v>
      </c>
      <c r="Q281" t="s">
        <v>329</v>
      </c>
      <c r="R281">
        <v>1363.41445</v>
      </c>
      <c r="S281">
        <v>6</v>
      </c>
      <c r="T281">
        <v>130</v>
      </c>
      <c r="V281">
        <v>0</v>
      </c>
      <c r="W281">
        <v>0</v>
      </c>
      <c r="X281" t="s">
        <v>329</v>
      </c>
      <c r="Y281">
        <v>-1</v>
      </c>
      <c r="Z281">
        <v>6</v>
      </c>
      <c r="AA281">
        <v>1363.41</v>
      </c>
      <c r="AB281">
        <v>130</v>
      </c>
      <c r="AC281">
        <v>5.0599999999999996</v>
      </c>
      <c r="AD281">
        <v>0.06</v>
      </c>
      <c r="AE281">
        <v>0.01</v>
      </c>
      <c r="AF281">
        <v>0</v>
      </c>
      <c r="AG281">
        <v>1</v>
      </c>
      <c r="AH281">
        <v>5.0599999999999996</v>
      </c>
      <c r="AI281">
        <v>5.0599999999999996</v>
      </c>
      <c r="AJ281">
        <v>5.0599999999999996</v>
      </c>
      <c r="AK281">
        <v>0.06</v>
      </c>
      <c r="AL281">
        <v>0.06</v>
      </c>
      <c r="AM281">
        <v>0.06</v>
      </c>
      <c r="AN281">
        <v>0.01</v>
      </c>
      <c r="AO281">
        <v>0.01</v>
      </c>
      <c r="AP281">
        <v>0.01</v>
      </c>
      <c r="AQ281">
        <v>1363.41445</v>
      </c>
      <c r="AR281">
        <v>0</v>
      </c>
      <c r="AS281">
        <f>_xlfn.XLOOKUP(B281,InstallDate!$H$2:$H$389,InstallDate!$BE$2:$BE$389)</f>
        <v>0</v>
      </c>
      <c r="AT281">
        <f t="shared" si="30"/>
        <v>0</v>
      </c>
      <c r="AU281">
        <f t="shared" si="28"/>
        <v>4.063277924997992E-2</v>
      </c>
      <c r="AV281">
        <f t="shared" si="31"/>
        <v>0</v>
      </c>
      <c r="AW281">
        <f t="shared" si="32"/>
        <v>0</v>
      </c>
      <c r="AX281">
        <f t="shared" si="33"/>
        <v>2</v>
      </c>
      <c r="AY281">
        <f t="shared" si="34"/>
        <v>0</v>
      </c>
      <c r="AZ281">
        <f t="shared" si="29"/>
        <v>2</v>
      </c>
    </row>
    <row r="282" spans="1:52" x14ac:dyDescent="0.2">
      <c r="A282">
        <v>281</v>
      </c>
      <c r="B282" t="s">
        <v>330</v>
      </c>
      <c r="C282">
        <v>0</v>
      </c>
      <c r="H282" t="s">
        <v>330</v>
      </c>
      <c r="I282" t="s">
        <v>45</v>
      </c>
      <c r="Q282" t="s">
        <v>330</v>
      </c>
      <c r="R282">
        <v>36.233289040000003</v>
      </c>
      <c r="S282">
        <v>6</v>
      </c>
      <c r="T282">
        <v>130</v>
      </c>
      <c r="V282">
        <v>0</v>
      </c>
      <c r="W282">
        <v>0</v>
      </c>
      <c r="X282" t="s">
        <v>330</v>
      </c>
      <c r="Y282">
        <v>-1</v>
      </c>
      <c r="Z282">
        <v>6</v>
      </c>
      <c r="AA282">
        <v>36.229999999999997</v>
      </c>
      <c r="AB282">
        <v>130</v>
      </c>
      <c r="AC282">
        <v>5.0599999999999996</v>
      </c>
      <c r="AD282">
        <v>0.06</v>
      </c>
      <c r="AE282">
        <v>0</v>
      </c>
      <c r="AF282">
        <v>0</v>
      </c>
      <c r="AG282">
        <v>1</v>
      </c>
      <c r="AH282">
        <v>5.0599999999999996</v>
      </c>
      <c r="AI282">
        <v>5.0599999999999996</v>
      </c>
      <c r="AJ282">
        <v>5.0599999999999996</v>
      </c>
      <c r="AK282">
        <v>0.06</v>
      </c>
      <c r="AL282">
        <v>0.06</v>
      </c>
      <c r="AM282">
        <v>0.06</v>
      </c>
      <c r="AN282">
        <v>0</v>
      </c>
      <c r="AO282">
        <v>0</v>
      </c>
      <c r="AP282">
        <v>0</v>
      </c>
      <c r="AQ282">
        <v>36.233289040000003</v>
      </c>
      <c r="AR282">
        <v>0</v>
      </c>
      <c r="AS282">
        <f>_xlfn.XLOOKUP(B282,InstallDate!$H$2:$H$389,InstallDate!$BE$2:$BE$389)</f>
        <v>0</v>
      </c>
      <c r="AT282">
        <f t="shared" si="30"/>
        <v>0</v>
      </c>
      <c r="AU282">
        <f t="shared" si="28"/>
        <v>4.063277924997992E-2</v>
      </c>
      <c r="AV282">
        <f t="shared" si="31"/>
        <v>0</v>
      </c>
      <c r="AW282">
        <f t="shared" si="32"/>
        <v>0</v>
      </c>
      <c r="AX282">
        <f t="shared" si="33"/>
        <v>2</v>
      </c>
      <c r="AY282">
        <f t="shared" si="34"/>
        <v>0</v>
      </c>
      <c r="AZ282">
        <f t="shared" si="29"/>
        <v>2</v>
      </c>
    </row>
    <row r="283" spans="1:52" x14ac:dyDescent="0.2">
      <c r="A283">
        <v>282</v>
      </c>
      <c r="B283" t="s">
        <v>331</v>
      </c>
      <c r="C283">
        <v>0</v>
      </c>
      <c r="H283" t="s">
        <v>331</v>
      </c>
      <c r="I283" t="s">
        <v>45</v>
      </c>
      <c r="Q283" t="s">
        <v>331</v>
      </c>
      <c r="R283">
        <v>29.546343400000001</v>
      </c>
      <c r="S283">
        <v>6</v>
      </c>
      <c r="T283">
        <v>130</v>
      </c>
      <c r="V283">
        <v>0</v>
      </c>
      <c r="W283">
        <v>0</v>
      </c>
      <c r="X283" t="s">
        <v>331</v>
      </c>
      <c r="Y283">
        <v>1</v>
      </c>
      <c r="Z283">
        <v>6</v>
      </c>
      <c r="AA283">
        <v>29.55</v>
      </c>
      <c r="AB283">
        <v>130</v>
      </c>
      <c r="AC283">
        <v>4.18</v>
      </c>
      <c r="AD283">
        <v>0.05</v>
      </c>
      <c r="AE283">
        <v>0</v>
      </c>
      <c r="AF283">
        <v>0</v>
      </c>
      <c r="AG283">
        <v>1</v>
      </c>
      <c r="AH283">
        <v>4.18</v>
      </c>
      <c r="AI283">
        <v>4.18</v>
      </c>
      <c r="AJ283">
        <v>4.18</v>
      </c>
      <c r="AK283">
        <v>0.05</v>
      </c>
      <c r="AL283">
        <v>0.05</v>
      </c>
      <c r="AM283">
        <v>0.05</v>
      </c>
      <c r="AN283">
        <v>0</v>
      </c>
      <c r="AO283">
        <v>0</v>
      </c>
      <c r="AP283">
        <v>0</v>
      </c>
      <c r="AQ283">
        <v>29.546343400000001</v>
      </c>
      <c r="AR283">
        <v>0</v>
      </c>
      <c r="AS283">
        <f>_xlfn.XLOOKUP(B283,InstallDate!$H$2:$H$389,InstallDate!$BE$2:$BE$389)</f>
        <v>0</v>
      </c>
      <c r="AT283">
        <f t="shared" si="30"/>
        <v>0</v>
      </c>
      <c r="AU283">
        <f t="shared" si="28"/>
        <v>3.3566208945635584E-2</v>
      </c>
      <c r="AV283">
        <f t="shared" si="31"/>
        <v>0</v>
      </c>
      <c r="AW283">
        <f t="shared" si="32"/>
        <v>0</v>
      </c>
      <c r="AX283">
        <f t="shared" si="33"/>
        <v>0</v>
      </c>
      <c r="AY283">
        <f t="shared" si="34"/>
        <v>1</v>
      </c>
      <c r="AZ283">
        <f t="shared" si="29"/>
        <v>1</v>
      </c>
    </row>
    <row r="284" spans="1:52" x14ac:dyDescent="0.2">
      <c r="A284">
        <v>283</v>
      </c>
      <c r="B284" t="s">
        <v>332</v>
      </c>
      <c r="C284">
        <v>0</v>
      </c>
      <c r="H284" t="s">
        <v>332</v>
      </c>
      <c r="I284" t="s">
        <v>45</v>
      </c>
      <c r="Q284" t="s">
        <v>332</v>
      </c>
      <c r="R284">
        <v>1946.2538179999999</v>
      </c>
      <c r="S284">
        <v>6</v>
      </c>
      <c r="T284">
        <v>130</v>
      </c>
      <c r="V284">
        <v>0</v>
      </c>
      <c r="W284">
        <v>0</v>
      </c>
      <c r="X284" t="s">
        <v>332</v>
      </c>
      <c r="Y284">
        <v>1</v>
      </c>
      <c r="Z284">
        <v>6</v>
      </c>
      <c r="AA284">
        <v>1946.25</v>
      </c>
      <c r="AB284">
        <v>130</v>
      </c>
      <c r="AC284">
        <v>4.18</v>
      </c>
      <c r="AD284">
        <v>0.05</v>
      </c>
      <c r="AE284">
        <v>0.01</v>
      </c>
      <c r="AF284">
        <v>0</v>
      </c>
      <c r="AG284">
        <v>1</v>
      </c>
      <c r="AH284">
        <v>4.18</v>
      </c>
      <c r="AI284">
        <v>4.18</v>
      </c>
      <c r="AJ284">
        <v>4.18</v>
      </c>
      <c r="AK284">
        <v>0.05</v>
      </c>
      <c r="AL284">
        <v>0.05</v>
      </c>
      <c r="AM284">
        <v>0.05</v>
      </c>
      <c r="AN284">
        <v>0.01</v>
      </c>
      <c r="AO284">
        <v>0.01</v>
      </c>
      <c r="AP284">
        <v>0.01</v>
      </c>
      <c r="AQ284">
        <v>1946.2538179999999</v>
      </c>
      <c r="AR284">
        <v>0</v>
      </c>
      <c r="AS284">
        <f>_xlfn.XLOOKUP(B284,InstallDate!$H$2:$H$389,InstallDate!$BE$2:$BE$389)</f>
        <v>0</v>
      </c>
      <c r="AT284">
        <f t="shared" si="30"/>
        <v>0</v>
      </c>
      <c r="AU284">
        <f t="shared" si="28"/>
        <v>3.3566208945635584E-2</v>
      </c>
      <c r="AV284">
        <f t="shared" si="31"/>
        <v>0</v>
      </c>
      <c r="AW284">
        <f t="shared" si="32"/>
        <v>0</v>
      </c>
      <c r="AX284">
        <f t="shared" si="33"/>
        <v>0</v>
      </c>
      <c r="AY284">
        <f t="shared" si="34"/>
        <v>1</v>
      </c>
      <c r="AZ284">
        <f t="shared" si="29"/>
        <v>1</v>
      </c>
    </row>
    <row r="285" spans="1:52" x14ac:dyDescent="0.2">
      <c r="A285">
        <v>284</v>
      </c>
      <c r="B285" t="s">
        <v>333</v>
      </c>
      <c r="C285">
        <v>0</v>
      </c>
      <c r="H285" t="s">
        <v>333</v>
      </c>
      <c r="I285" t="s">
        <v>45</v>
      </c>
      <c r="Q285" t="s">
        <v>333</v>
      </c>
      <c r="R285">
        <v>1343.5361700000001</v>
      </c>
      <c r="S285">
        <v>6</v>
      </c>
      <c r="T285">
        <v>130</v>
      </c>
      <c r="V285">
        <v>0</v>
      </c>
      <c r="W285">
        <v>0</v>
      </c>
      <c r="X285" t="s">
        <v>333</v>
      </c>
      <c r="Y285">
        <v>1</v>
      </c>
      <c r="Z285">
        <v>6</v>
      </c>
      <c r="AA285">
        <v>1343.54</v>
      </c>
      <c r="AB285">
        <v>130</v>
      </c>
      <c r="AC285">
        <v>2.65</v>
      </c>
      <c r="AD285">
        <v>0.03</v>
      </c>
      <c r="AE285">
        <v>0</v>
      </c>
      <c r="AF285">
        <v>0</v>
      </c>
      <c r="AG285">
        <v>1</v>
      </c>
      <c r="AH285">
        <v>2.65</v>
      </c>
      <c r="AI285">
        <v>2.65</v>
      </c>
      <c r="AJ285">
        <v>2.65</v>
      </c>
      <c r="AK285">
        <v>0.03</v>
      </c>
      <c r="AL285">
        <v>0.03</v>
      </c>
      <c r="AM285">
        <v>0.03</v>
      </c>
      <c r="AN285">
        <v>0</v>
      </c>
      <c r="AO285">
        <v>0</v>
      </c>
      <c r="AP285">
        <v>0</v>
      </c>
      <c r="AQ285">
        <v>1343.5361700000001</v>
      </c>
      <c r="AR285">
        <v>0</v>
      </c>
      <c r="AS285">
        <f>_xlfn.XLOOKUP(B285,InstallDate!$H$2:$H$389,InstallDate!$BE$2:$BE$389)</f>
        <v>0</v>
      </c>
      <c r="AT285">
        <f t="shared" si="30"/>
        <v>0</v>
      </c>
      <c r="AU285">
        <f t="shared" si="28"/>
        <v>2.1280012848309642E-2</v>
      </c>
      <c r="AV285">
        <f t="shared" si="31"/>
        <v>0</v>
      </c>
      <c r="AW285">
        <f t="shared" si="32"/>
        <v>0</v>
      </c>
      <c r="AX285">
        <f t="shared" si="33"/>
        <v>0</v>
      </c>
      <c r="AY285">
        <f t="shared" si="34"/>
        <v>1</v>
      </c>
      <c r="AZ285">
        <f t="shared" si="29"/>
        <v>1</v>
      </c>
    </row>
    <row r="286" spans="1:52" x14ac:dyDescent="0.2">
      <c r="A286">
        <v>285</v>
      </c>
      <c r="B286" t="s">
        <v>334</v>
      </c>
      <c r="C286">
        <v>0</v>
      </c>
      <c r="H286" t="s">
        <v>334</v>
      </c>
      <c r="I286" t="s">
        <v>45</v>
      </c>
      <c r="Q286" t="s">
        <v>334</v>
      </c>
      <c r="R286">
        <v>751.36967809999999</v>
      </c>
      <c r="S286">
        <v>6</v>
      </c>
      <c r="T286">
        <v>130</v>
      </c>
      <c r="V286">
        <v>0</v>
      </c>
      <c r="W286">
        <v>0</v>
      </c>
      <c r="X286" t="s">
        <v>334</v>
      </c>
      <c r="Y286">
        <v>-1</v>
      </c>
      <c r="Z286">
        <v>6</v>
      </c>
      <c r="AA286">
        <v>751.37</v>
      </c>
      <c r="AB286">
        <v>130</v>
      </c>
      <c r="AC286">
        <v>0.53</v>
      </c>
      <c r="AD286">
        <v>0.01</v>
      </c>
      <c r="AE286">
        <v>0</v>
      </c>
      <c r="AF286">
        <v>0</v>
      </c>
      <c r="AG286">
        <v>1</v>
      </c>
      <c r="AH286">
        <v>0.53</v>
      </c>
      <c r="AI286">
        <v>0.53</v>
      </c>
      <c r="AJ286">
        <v>0.53</v>
      </c>
      <c r="AK286">
        <v>0.01</v>
      </c>
      <c r="AL286">
        <v>0.01</v>
      </c>
      <c r="AM286">
        <v>0.01</v>
      </c>
      <c r="AN286">
        <v>0</v>
      </c>
      <c r="AO286">
        <v>0</v>
      </c>
      <c r="AP286">
        <v>0</v>
      </c>
      <c r="AQ286">
        <v>751.36967809999999</v>
      </c>
      <c r="AR286">
        <v>0</v>
      </c>
      <c r="AS286">
        <f>_xlfn.XLOOKUP(B286,InstallDate!$H$2:$H$389,InstallDate!$BE$2:$BE$389)</f>
        <v>0</v>
      </c>
      <c r="AT286">
        <f t="shared" si="30"/>
        <v>0</v>
      </c>
      <c r="AU286">
        <f t="shared" si="28"/>
        <v>4.2560025696619288E-3</v>
      </c>
      <c r="AV286">
        <f t="shared" si="31"/>
        <v>0</v>
      </c>
      <c r="AW286">
        <f t="shared" si="32"/>
        <v>0</v>
      </c>
      <c r="AX286">
        <f t="shared" si="33"/>
        <v>0</v>
      </c>
      <c r="AY286">
        <f t="shared" si="34"/>
        <v>1</v>
      </c>
      <c r="AZ286">
        <f t="shared" si="29"/>
        <v>1</v>
      </c>
    </row>
    <row r="287" spans="1:52" x14ac:dyDescent="0.2">
      <c r="A287">
        <v>286</v>
      </c>
      <c r="B287" t="s">
        <v>335</v>
      </c>
      <c r="C287">
        <v>0</v>
      </c>
      <c r="H287" t="s">
        <v>335</v>
      </c>
      <c r="I287" t="s">
        <v>45</v>
      </c>
      <c r="Q287" t="s">
        <v>335</v>
      </c>
      <c r="R287">
        <v>146.1729689</v>
      </c>
      <c r="S287">
        <v>6</v>
      </c>
      <c r="T287">
        <v>130</v>
      </c>
      <c r="V287">
        <v>0</v>
      </c>
      <c r="W287">
        <v>0</v>
      </c>
      <c r="X287" t="s">
        <v>335</v>
      </c>
      <c r="Y287">
        <v>1</v>
      </c>
      <c r="Z287">
        <v>6</v>
      </c>
      <c r="AA287">
        <v>146.16999999999999</v>
      </c>
      <c r="AB287">
        <v>130</v>
      </c>
      <c r="AC287">
        <v>2.36</v>
      </c>
      <c r="AD287">
        <v>0.03</v>
      </c>
      <c r="AE287">
        <v>0</v>
      </c>
      <c r="AF287">
        <v>0</v>
      </c>
      <c r="AG287">
        <v>1</v>
      </c>
      <c r="AH287">
        <v>2.36</v>
      </c>
      <c r="AI287">
        <v>2.36</v>
      </c>
      <c r="AJ287">
        <v>2.36</v>
      </c>
      <c r="AK287">
        <v>0.03</v>
      </c>
      <c r="AL287">
        <v>0.03</v>
      </c>
      <c r="AM287">
        <v>0.03</v>
      </c>
      <c r="AN287">
        <v>0</v>
      </c>
      <c r="AO287">
        <v>0</v>
      </c>
      <c r="AP287">
        <v>0</v>
      </c>
      <c r="AQ287">
        <v>146.1729689</v>
      </c>
      <c r="AR287">
        <v>0</v>
      </c>
      <c r="AS287">
        <f>_xlfn.XLOOKUP(B287,InstallDate!$H$2:$H$389,InstallDate!$BE$2:$BE$389)</f>
        <v>0</v>
      </c>
      <c r="AT287">
        <f t="shared" si="30"/>
        <v>0</v>
      </c>
      <c r="AU287">
        <f t="shared" si="28"/>
        <v>1.8951256725287077E-2</v>
      </c>
      <c r="AV287">
        <f t="shared" si="31"/>
        <v>0</v>
      </c>
      <c r="AW287">
        <f t="shared" si="32"/>
        <v>0</v>
      </c>
      <c r="AX287">
        <f t="shared" si="33"/>
        <v>0</v>
      </c>
      <c r="AY287">
        <f t="shared" si="34"/>
        <v>1</v>
      </c>
      <c r="AZ287">
        <f t="shared" si="29"/>
        <v>1</v>
      </c>
    </row>
    <row r="288" spans="1:52" x14ac:dyDescent="0.2">
      <c r="A288">
        <v>287</v>
      </c>
      <c r="B288" t="s">
        <v>336</v>
      </c>
      <c r="C288">
        <v>0</v>
      </c>
      <c r="H288" t="s">
        <v>336</v>
      </c>
      <c r="I288" t="s">
        <v>45</v>
      </c>
      <c r="Q288" t="s">
        <v>336</v>
      </c>
      <c r="R288">
        <v>1160.395835</v>
      </c>
      <c r="S288">
        <v>6</v>
      </c>
      <c r="T288">
        <v>130</v>
      </c>
      <c r="V288">
        <v>0</v>
      </c>
      <c r="W288">
        <v>0</v>
      </c>
      <c r="X288" t="s">
        <v>336</v>
      </c>
      <c r="Y288">
        <v>1</v>
      </c>
      <c r="Z288">
        <v>6</v>
      </c>
      <c r="AA288">
        <v>1160.4000000000001</v>
      </c>
      <c r="AB288">
        <v>130</v>
      </c>
      <c r="AC288">
        <v>0.62</v>
      </c>
      <c r="AD288">
        <v>0.01</v>
      </c>
      <c r="AE288">
        <v>0</v>
      </c>
      <c r="AF288">
        <v>0</v>
      </c>
      <c r="AG288">
        <v>1</v>
      </c>
      <c r="AH288">
        <v>0.62</v>
      </c>
      <c r="AI288">
        <v>0.62</v>
      </c>
      <c r="AJ288">
        <v>0.62</v>
      </c>
      <c r="AK288">
        <v>0.01</v>
      </c>
      <c r="AL288">
        <v>0.01</v>
      </c>
      <c r="AM288">
        <v>0.01</v>
      </c>
      <c r="AN288">
        <v>0</v>
      </c>
      <c r="AO288">
        <v>0</v>
      </c>
      <c r="AP288">
        <v>0</v>
      </c>
      <c r="AQ288">
        <v>1160.395835</v>
      </c>
      <c r="AR288">
        <v>0</v>
      </c>
      <c r="AS288">
        <f>_xlfn.XLOOKUP(B288,InstallDate!$H$2:$H$389,InstallDate!$BE$2:$BE$389)</f>
        <v>0</v>
      </c>
      <c r="AT288">
        <f t="shared" si="30"/>
        <v>0</v>
      </c>
      <c r="AU288">
        <f t="shared" si="28"/>
        <v>4.9787199871516906E-3</v>
      </c>
      <c r="AV288">
        <f t="shared" si="31"/>
        <v>0</v>
      </c>
      <c r="AW288">
        <f t="shared" si="32"/>
        <v>0</v>
      </c>
      <c r="AX288">
        <f t="shared" si="33"/>
        <v>0</v>
      </c>
      <c r="AY288">
        <f t="shared" si="34"/>
        <v>1</v>
      </c>
      <c r="AZ288">
        <f t="shared" si="29"/>
        <v>1</v>
      </c>
    </row>
    <row r="289" spans="1:52" x14ac:dyDescent="0.2">
      <c r="A289">
        <v>288</v>
      </c>
      <c r="B289" t="s">
        <v>337</v>
      </c>
      <c r="C289">
        <v>0</v>
      </c>
      <c r="H289" t="s">
        <v>337</v>
      </c>
      <c r="I289" t="s">
        <v>45</v>
      </c>
      <c r="Q289" t="s">
        <v>337</v>
      </c>
      <c r="R289">
        <v>143.00009879999999</v>
      </c>
      <c r="S289">
        <v>6</v>
      </c>
      <c r="T289">
        <v>130</v>
      </c>
      <c r="V289">
        <v>0</v>
      </c>
      <c r="W289">
        <v>0</v>
      </c>
      <c r="X289" t="s">
        <v>337</v>
      </c>
      <c r="Y289">
        <v>-1</v>
      </c>
      <c r="Z289">
        <v>6</v>
      </c>
      <c r="AA289">
        <v>143</v>
      </c>
      <c r="AB289">
        <v>130</v>
      </c>
      <c r="AC289">
        <v>2.09</v>
      </c>
      <c r="AD289">
        <v>0.02</v>
      </c>
      <c r="AE289">
        <v>0</v>
      </c>
      <c r="AF289">
        <v>0</v>
      </c>
      <c r="AG289">
        <v>1</v>
      </c>
      <c r="AH289">
        <v>2.09</v>
      </c>
      <c r="AI289">
        <v>2.09</v>
      </c>
      <c r="AJ289">
        <v>2.09</v>
      </c>
      <c r="AK289">
        <v>0.02</v>
      </c>
      <c r="AL289">
        <v>0.02</v>
      </c>
      <c r="AM289">
        <v>0.02</v>
      </c>
      <c r="AN289">
        <v>0</v>
      </c>
      <c r="AO289">
        <v>0</v>
      </c>
      <c r="AP289">
        <v>0</v>
      </c>
      <c r="AQ289">
        <v>143.00009879999999</v>
      </c>
      <c r="AR289">
        <v>0</v>
      </c>
      <c r="AS289">
        <f>_xlfn.XLOOKUP(B289,InstallDate!$H$2:$H$389,InstallDate!$BE$2:$BE$389)</f>
        <v>0</v>
      </c>
      <c r="AT289">
        <f t="shared" si="30"/>
        <v>0</v>
      </c>
      <c r="AU289">
        <f t="shared" si="28"/>
        <v>1.6783104472817792E-2</v>
      </c>
      <c r="AV289">
        <f t="shared" si="31"/>
        <v>0</v>
      </c>
      <c r="AW289">
        <f t="shared" si="32"/>
        <v>0</v>
      </c>
      <c r="AX289">
        <f t="shared" si="33"/>
        <v>0</v>
      </c>
      <c r="AY289">
        <f t="shared" si="34"/>
        <v>1</v>
      </c>
      <c r="AZ289">
        <f t="shared" si="29"/>
        <v>1</v>
      </c>
    </row>
    <row r="290" spans="1:52" x14ac:dyDescent="0.2">
      <c r="A290">
        <v>289</v>
      </c>
      <c r="B290" t="s">
        <v>338</v>
      </c>
      <c r="C290">
        <v>0</v>
      </c>
      <c r="H290" t="s">
        <v>338</v>
      </c>
      <c r="I290" t="s">
        <v>45</v>
      </c>
      <c r="Q290" t="s">
        <v>338</v>
      </c>
      <c r="R290">
        <v>103.751345</v>
      </c>
      <c r="S290">
        <v>6</v>
      </c>
      <c r="T290">
        <v>130</v>
      </c>
      <c r="V290">
        <v>0</v>
      </c>
      <c r="W290">
        <v>0</v>
      </c>
      <c r="X290" t="s">
        <v>338</v>
      </c>
      <c r="Y290">
        <v>1</v>
      </c>
      <c r="Z290">
        <v>6</v>
      </c>
      <c r="AA290">
        <v>103.75</v>
      </c>
      <c r="AB290">
        <v>130</v>
      </c>
      <c r="AC290">
        <v>0.14000000000000001</v>
      </c>
      <c r="AD290">
        <v>0</v>
      </c>
      <c r="AE290">
        <v>0</v>
      </c>
      <c r="AF290">
        <v>0</v>
      </c>
      <c r="AG290">
        <v>1</v>
      </c>
      <c r="AH290">
        <v>0.14000000000000001</v>
      </c>
      <c r="AI290">
        <v>0.14000000000000001</v>
      </c>
      <c r="AJ290">
        <v>0.14000000000000001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103.751345</v>
      </c>
      <c r="AR290">
        <v>0</v>
      </c>
      <c r="AS290">
        <f>_xlfn.XLOOKUP(B290,InstallDate!$H$2:$H$389,InstallDate!$BE$2:$BE$389)</f>
        <v>0</v>
      </c>
      <c r="AT290">
        <f t="shared" si="30"/>
        <v>0</v>
      </c>
      <c r="AU290">
        <f t="shared" si="28"/>
        <v>1.1242270938729624E-3</v>
      </c>
      <c r="AV290">
        <f t="shared" si="31"/>
        <v>0</v>
      </c>
      <c r="AW290">
        <f t="shared" si="32"/>
        <v>0</v>
      </c>
      <c r="AX290">
        <f t="shared" si="33"/>
        <v>0</v>
      </c>
      <c r="AY290">
        <f t="shared" si="34"/>
        <v>1</v>
      </c>
      <c r="AZ290">
        <f t="shared" si="29"/>
        <v>1</v>
      </c>
    </row>
    <row r="291" spans="1:52" x14ac:dyDescent="0.2">
      <c r="A291">
        <v>290</v>
      </c>
      <c r="B291" t="s">
        <v>339</v>
      </c>
      <c r="C291">
        <v>0</v>
      </c>
      <c r="H291" t="s">
        <v>339</v>
      </c>
      <c r="I291" t="s">
        <v>45</v>
      </c>
      <c r="Q291" t="s">
        <v>339</v>
      </c>
      <c r="R291">
        <v>404.66816799999998</v>
      </c>
      <c r="S291">
        <v>6</v>
      </c>
      <c r="T291">
        <v>130</v>
      </c>
      <c r="V291">
        <v>0</v>
      </c>
      <c r="W291">
        <v>0</v>
      </c>
      <c r="X291" t="s">
        <v>339</v>
      </c>
      <c r="Y291">
        <v>-1</v>
      </c>
      <c r="Z291">
        <v>6</v>
      </c>
      <c r="AA291">
        <v>404.67</v>
      </c>
      <c r="AB291">
        <v>130</v>
      </c>
      <c r="AC291">
        <v>2.5099999999999998</v>
      </c>
      <c r="AD291">
        <v>0.03</v>
      </c>
      <c r="AE291">
        <v>0</v>
      </c>
      <c r="AF291">
        <v>0</v>
      </c>
      <c r="AG291">
        <v>1</v>
      </c>
      <c r="AH291">
        <v>2.5099999999999998</v>
      </c>
      <c r="AI291">
        <v>2.5099999999999998</v>
      </c>
      <c r="AJ291">
        <v>2.5099999999999998</v>
      </c>
      <c r="AK291">
        <v>0.03</v>
      </c>
      <c r="AL291">
        <v>0.03</v>
      </c>
      <c r="AM291">
        <v>0.03</v>
      </c>
      <c r="AN291">
        <v>0</v>
      </c>
      <c r="AO291">
        <v>0</v>
      </c>
      <c r="AP291">
        <v>0</v>
      </c>
      <c r="AQ291">
        <v>404.66816799999998</v>
      </c>
      <c r="AR291">
        <v>0</v>
      </c>
      <c r="AS291">
        <f>_xlfn.XLOOKUP(B291,InstallDate!$H$2:$H$389,InstallDate!$BE$2:$BE$389)</f>
        <v>0</v>
      </c>
      <c r="AT291">
        <f t="shared" si="30"/>
        <v>0</v>
      </c>
      <c r="AU291">
        <f t="shared" si="28"/>
        <v>2.0155785754436679E-2</v>
      </c>
      <c r="AV291">
        <f t="shared" si="31"/>
        <v>0</v>
      </c>
      <c r="AW291">
        <f t="shared" si="32"/>
        <v>0</v>
      </c>
      <c r="AX291">
        <f t="shared" si="33"/>
        <v>0</v>
      </c>
      <c r="AY291">
        <f t="shared" si="34"/>
        <v>1</v>
      </c>
      <c r="AZ291">
        <f t="shared" si="29"/>
        <v>1</v>
      </c>
    </row>
    <row r="292" spans="1:52" x14ac:dyDescent="0.2">
      <c r="A292">
        <v>291</v>
      </c>
      <c r="B292" t="s">
        <v>340</v>
      </c>
      <c r="C292">
        <v>0</v>
      </c>
      <c r="H292" t="s">
        <v>340</v>
      </c>
      <c r="I292" t="s">
        <v>45</v>
      </c>
      <c r="Q292" t="s">
        <v>340</v>
      </c>
      <c r="R292">
        <v>206.10745349999999</v>
      </c>
      <c r="S292">
        <v>6</v>
      </c>
      <c r="T292">
        <v>130</v>
      </c>
      <c r="V292">
        <v>0</v>
      </c>
      <c r="W292">
        <v>0</v>
      </c>
      <c r="X292" t="s">
        <v>340</v>
      </c>
      <c r="Y292">
        <v>-1</v>
      </c>
      <c r="Z292">
        <v>6</v>
      </c>
      <c r="AA292">
        <v>206.11</v>
      </c>
      <c r="AB292">
        <v>130</v>
      </c>
      <c r="AC292">
        <v>21.46</v>
      </c>
      <c r="AD292">
        <v>0.24</v>
      </c>
      <c r="AE292">
        <v>0.01</v>
      </c>
      <c r="AF292">
        <v>0.06</v>
      </c>
      <c r="AG292">
        <v>1</v>
      </c>
      <c r="AH292">
        <v>21.46</v>
      </c>
      <c r="AI292">
        <v>21.46</v>
      </c>
      <c r="AJ292">
        <v>21.46</v>
      </c>
      <c r="AK292">
        <v>0.24</v>
      </c>
      <c r="AL292">
        <v>0.24</v>
      </c>
      <c r="AM292">
        <v>0.24</v>
      </c>
      <c r="AN292">
        <v>0.01</v>
      </c>
      <c r="AO292">
        <v>0.01</v>
      </c>
      <c r="AP292">
        <v>0.01</v>
      </c>
      <c r="AQ292">
        <v>206.10745349999999</v>
      </c>
      <c r="AR292">
        <v>0</v>
      </c>
      <c r="AS292">
        <f>_xlfn.XLOOKUP(B292,InstallDate!$H$2:$H$389,InstallDate!$BE$2:$BE$389)</f>
        <v>0</v>
      </c>
      <c r="AT292">
        <f t="shared" si="30"/>
        <v>0</v>
      </c>
      <c r="AU292">
        <f t="shared" si="28"/>
        <v>0.1723279531036698</v>
      </c>
      <c r="AV292">
        <f t="shared" si="31"/>
        <v>0</v>
      </c>
      <c r="AW292">
        <f t="shared" si="32"/>
        <v>3</v>
      </c>
      <c r="AX292">
        <f t="shared" si="33"/>
        <v>2</v>
      </c>
      <c r="AY292">
        <f t="shared" si="34"/>
        <v>0</v>
      </c>
      <c r="AZ292">
        <f t="shared" si="29"/>
        <v>2</v>
      </c>
    </row>
    <row r="293" spans="1:52" x14ac:dyDescent="0.2">
      <c r="A293">
        <v>292</v>
      </c>
      <c r="B293" t="s">
        <v>341</v>
      </c>
      <c r="C293">
        <v>0</v>
      </c>
      <c r="H293" t="s">
        <v>341</v>
      </c>
      <c r="I293" t="s">
        <v>45</v>
      </c>
      <c r="Q293" t="s">
        <v>341</v>
      </c>
      <c r="R293">
        <v>37.917390390000001</v>
      </c>
      <c r="S293">
        <v>6</v>
      </c>
      <c r="T293">
        <v>130</v>
      </c>
      <c r="V293">
        <v>0</v>
      </c>
      <c r="W293">
        <v>0</v>
      </c>
      <c r="X293" t="s">
        <v>341</v>
      </c>
      <c r="Y293">
        <v>-1</v>
      </c>
      <c r="Z293">
        <v>6</v>
      </c>
      <c r="AA293">
        <v>37.92</v>
      </c>
      <c r="AB293">
        <v>130</v>
      </c>
      <c r="AC293">
        <v>21.46</v>
      </c>
      <c r="AD293">
        <v>0.24</v>
      </c>
      <c r="AE293">
        <v>0</v>
      </c>
      <c r="AF293">
        <v>0.06</v>
      </c>
      <c r="AG293">
        <v>1</v>
      </c>
      <c r="AH293">
        <v>21.46</v>
      </c>
      <c r="AI293">
        <v>21.46</v>
      </c>
      <c r="AJ293">
        <v>21.46</v>
      </c>
      <c r="AK293">
        <v>0.24</v>
      </c>
      <c r="AL293">
        <v>0.24</v>
      </c>
      <c r="AM293">
        <v>0.24</v>
      </c>
      <c r="AN293">
        <v>0</v>
      </c>
      <c r="AO293">
        <v>0</v>
      </c>
      <c r="AP293">
        <v>0</v>
      </c>
      <c r="AQ293">
        <v>37.917390390000001</v>
      </c>
      <c r="AR293">
        <v>0</v>
      </c>
      <c r="AS293">
        <f>_xlfn.XLOOKUP(B293,InstallDate!$H$2:$H$389,InstallDate!$BE$2:$BE$389)</f>
        <v>0</v>
      </c>
      <c r="AT293">
        <f t="shared" si="30"/>
        <v>0</v>
      </c>
      <c r="AU293">
        <f t="shared" si="28"/>
        <v>0.1723279531036698</v>
      </c>
      <c r="AV293">
        <f t="shared" si="31"/>
        <v>0</v>
      </c>
      <c r="AW293">
        <f t="shared" si="32"/>
        <v>3</v>
      </c>
      <c r="AX293">
        <f t="shared" si="33"/>
        <v>2</v>
      </c>
      <c r="AY293">
        <f t="shared" si="34"/>
        <v>0</v>
      </c>
      <c r="AZ293">
        <f t="shared" si="29"/>
        <v>2</v>
      </c>
    </row>
    <row r="294" spans="1:52" x14ac:dyDescent="0.2">
      <c r="A294">
        <v>293</v>
      </c>
      <c r="B294" t="s">
        <v>342</v>
      </c>
      <c r="C294">
        <v>0</v>
      </c>
      <c r="H294" t="s">
        <v>342</v>
      </c>
      <c r="I294" t="s">
        <v>45</v>
      </c>
      <c r="Q294" t="s">
        <v>342</v>
      </c>
      <c r="R294">
        <v>163.4971707</v>
      </c>
      <c r="S294">
        <v>6</v>
      </c>
      <c r="T294">
        <v>130</v>
      </c>
      <c r="V294">
        <v>0</v>
      </c>
      <c r="W294">
        <v>0</v>
      </c>
      <c r="X294" t="s">
        <v>342</v>
      </c>
      <c r="Y294">
        <v>-1</v>
      </c>
      <c r="Z294">
        <v>6</v>
      </c>
      <c r="AA294">
        <v>163.5</v>
      </c>
      <c r="AB294">
        <v>130</v>
      </c>
      <c r="AC294">
        <v>21.46</v>
      </c>
      <c r="AD294">
        <v>0.24</v>
      </c>
      <c r="AE294">
        <v>0.01</v>
      </c>
      <c r="AF294">
        <v>0.06</v>
      </c>
      <c r="AG294">
        <v>1</v>
      </c>
      <c r="AH294">
        <v>21.46</v>
      </c>
      <c r="AI294">
        <v>21.46</v>
      </c>
      <c r="AJ294">
        <v>21.46</v>
      </c>
      <c r="AK294">
        <v>0.24</v>
      </c>
      <c r="AL294">
        <v>0.24</v>
      </c>
      <c r="AM294">
        <v>0.24</v>
      </c>
      <c r="AN294">
        <v>0.01</v>
      </c>
      <c r="AO294">
        <v>0.01</v>
      </c>
      <c r="AP294">
        <v>0.01</v>
      </c>
      <c r="AQ294">
        <v>163.4971707</v>
      </c>
      <c r="AR294">
        <v>0</v>
      </c>
      <c r="AS294">
        <f>_xlfn.XLOOKUP(B294,InstallDate!$H$2:$H$389,InstallDate!$BE$2:$BE$389)</f>
        <v>0</v>
      </c>
      <c r="AT294">
        <f t="shared" si="30"/>
        <v>0</v>
      </c>
      <c r="AU294">
        <f t="shared" si="28"/>
        <v>0.1723279531036698</v>
      </c>
      <c r="AV294">
        <f t="shared" si="31"/>
        <v>0</v>
      </c>
      <c r="AW294">
        <f t="shared" si="32"/>
        <v>3</v>
      </c>
      <c r="AX294">
        <f t="shared" si="33"/>
        <v>2</v>
      </c>
      <c r="AY294">
        <f t="shared" si="34"/>
        <v>0</v>
      </c>
      <c r="AZ294">
        <f t="shared" si="29"/>
        <v>2</v>
      </c>
    </row>
    <row r="295" spans="1:52" x14ac:dyDescent="0.2">
      <c r="A295">
        <v>294</v>
      </c>
      <c r="B295" t="s">
        <v>343</v>
      </c>
      <c r="C295">
        <v>0</v>
      </c>
      <c r="H295" t="s">
        <v>343</v>
      </c>
      <c r="I295" t="s">
        <v>45</v>
      </c>
      <c r="Q295" t="s">
        <v>343</v>
      </c>
      <c r="R295">
        <v>161.68618369999999</v>
      </c>
      <c r="S295">
        <v>6</v>
      </c>
      <c r="T295">
        <v>130</v>
      </c>
      <c r="V295">
        <v>0</v>
      </c>
      <c r="W295">
        <v>0</v>
      </c>
      <c r="X295" t="s">
        <v>343</v>
      </c>
      <c r="Y295">
        <v>-1</v>
      </c>
      <c r="Z295">
        <v>6</v>
      </c>
      <c r="AA295">
        <v>161.69</v>
      </c>
      <c r="AB295">
        <v>130</v>
      </c>
      <c r="AC295">
        <v>21.46</v>
      </c>
      <c r="AD295">
        <v>0.24</v>
      </c>
      <c r="AE295">
        <v>0.01</v>
      </c>
      <c r="AF295">
        <v>0.06</v>
      </c>
      <c r="AG295">
        <v>1</v>
      </c>
      <c r="AH295">
        <v>21.46</v>
      </c>
      <c r="AI295">
        <v>21.46</v>
      </c>
      <c r="AJ295">
        <v>21.46</v>
      </c>
      <c r="AK295">
        <v>0.24</v>
      </c>
      <c r="AL295">
        <v>0.24</v>
      </c>
      <c r="AM295">
        <v>0.24</v>
      </c>
      <c r="AN295">
        <v>0.01</v>
      </c>
      <c r="AO295">
        <v>0.01</v>
      </c>
      <c r="AP295">
        <v>0.01</v>
      </c>
      <c r="AQ295">
        <v>161.68618369999999</v>
      </c>
      <c r="AR295">
        <v>0</v>
      </c>
      <c r="AS295">
        <f>_xlfn.XLOOKUP(B295,InstallDate!$H$2:$H$389,InstallDate!$BE$2:$BE$389)</f>
        <v>0</v>
      </c>
      <c r="AT295">
        <f t="shared" si="30"/>
        <v>0</v>
      </c>
      <c r="AU295">
        <f t="shared" si="28"/>
        <v>0.1723279531036698</v>
      </c>
      <c r="AV295">
        <f t="shared" si="31"/>
        <v>0</v>
      </c>
      <c r="AW295">
        <f t="shared" si="32"/>
        <v>3</v>
      </c>
      <c r="AX295">
        <f t="shared" si="33"/>
        <v>2</v>
      </c>
      <c r="AY295">
        <f t="shared" si="34"/>
        <v>0</v>
      </c>
      <c r="AZ295">
        <f t="shared" si="29"/>
        <v>2</v>
      </c>
    </row>
    <row r="296" spans="1:52" x14ac:dyDescent="0.2">
      <c r="A296">
        <v>295</v>
      </c>
      <c r="B296" t="s">
        <v>344</v>
      </c>
      <c r="C296">
        <v>0</v>
      </c>
      <c r="H296" t="s">
        <v>344</v>
      </c>
      <c r="I296" t="s">
        <v>45</v>
      </c>
      <c r="Q296" t="s">
        <v>344</v>
      </c>
      <c r="R296">
        <v>927.21190549999994</v>
      </c>
      <c r="S296">
        <v>6</v>
      </c>
      <c r="T296">
        <v>130</v>
      </c>
      <c r="V296">
        <v>0</v>
      </c>
      <c r="W296">
        <v>0</v>
      </c>
      <c r="X296" t="s">
        <v>344</v>
      </c>
      <c r="Y296">
        <v>-1</v>
      </c>
      <c r="Z296">
        <v>6</v>
      </c>
      <c r="AA296">
        <v>927.21</v>
      </c>
      <c r="AB296">
        <v>130</v>
      </c>
      <c r="AC296">
        <v>5.75</v>
      </c>
      <c r="AD296">
        <v>7.0000000000000007E-2</v>
      </c>
      <c r="AE296">
        <v>0</v>
      </c>
      <c r="AF296">
        <v>0.01</v>
      </c>
      <c r="AG296">
        <v>1</v>
      </c>
      <c r="AH296">
        <v>5.75</v>
      </c>
      <c r="AI296">
        <v>5.75</v>
      </c>
      <c r="AJ296">
        <v>5.75</v>
      </c>
      <c r="AK296">
        <v>7.0000000000000007E-2</v>
      </c>
      <c r="AL296">
        <v>7.0000000000000007E-2</v>
      </c>
      <c r="AM296">
        <v>7.0000000000000007E-2</v>
      </c>
      <c r="AN296">
        <v>0</v>
      </c>
      <c r="AO296">
        <v>0</v>
      </c>
      <c r="AP296">
        <v>0</v>
      </c>
      <c r="AQ296">
        <v>927.21190549999994</v>
      </c>
      <c r="AR296">
        <v>0</v>
      </c>
      <c r="AS296">
        <f>_xlfn.XLOOKUP(B296,InstallDate!$H$2:$H$389,InstallDate!$BE$2:$BE$389)</f>
        <v>0</v>
      </c>
      <c r="AT296">
        <f t="shared" si="30"/>
        <v>0</v>
      </c>
      <c r="AU296">
        <f t="shared" si="28"/>
        <v>4.6173612784068098E-2</v>
      </c>
      <c r="AV296">
        <f t="shared" si="31"/>
        <v>0</v>
      </c>
      <c r="AW296">
        <f t="shared" si="32"/>
        <v>0</v>
      </c>
      <c r="AX296">
        <f t="shared" si="33"/>
        <v>2</v>
      </c>
      <c r="AY296">
        <f t="shared" si="34"/>
        <v>0</v>
      </c>
      <c r="AZ296">
        <f t="shared" si="29"/>
        <v>2</v>
      </c>
    </row>
    <row r="297" spans="1:52" x14ac:dyDescent="0.2">
      <c r="A297">
        <v>296</v>
      </c>
      <c r="B297" t="s">
        <v>345</v>
      </c>
      <c r="C297">
        <v>0</v>
      </c>
      <c r="H297" t="s">
        <v>345</v>
      </c>
      <c r="I297" t="s">
        <v>45</v>
      </c>
      <c r="Q297" t="s">
        <v>345</v>
      </c>
      <c r="R297">
        <v>17.547204069999999</v>
      </c>
      <c r="S297">
        <v>6</v>
      </c>
      <c r="T297">
        <v>130</v>
      </c>
      <c r="V297">
        <v>0</v>
      </c>
      <c r="W297">
        <v>0</v>
      </c>
      <c r="X297" t="s">
        <v>345</v>
      </c>
      <c r="Y297">
        <v>-1</v>
      </c>
      <c r="Z297">
        <v>6</v>
      </c>
      <c r="AA297">
        <v>17.55</v>
      </c>
      <c r="AB297">
        <v>130</v>
      </c>
      <c r="AC297">
        <v>5.75</v>
      </c>
      <c r="AD297">
        <v>7.0000000000000007E-2</v>
      </c>
      <c r="AE297">
        <v>0</v>
      </c>
      <c r="AF297">
        <v>0</v>
      </c>
      <c r="AG297">
        <v>1</v>
      </c>
      <c r="AH297">
        <v>5.75</v>
      </c>
      <c r="AI297">
        <v>5.75</v>
      </c>
      <c r="AJ297">
        <v>5.75</v>
      </c>
      <c r="AK297">
        <v>7.0000000000000007E-2</v>
      </c>
      <c r="AL297">
        <v>7.0000000000000007E-2</v>
      </c>
      <c r="AM297">
        <v>7.0000000000000007E-2</v>
      </c>
      <c r="AN297">
        <v>0</v>
      </c>
      <c r="AO297">
        <v>0</v>
      </c>
      <c r="AP297">
        <v>0</v>
      </c>
      <c r="AQ297">
        <v>17.547204069999999</v>
      </c>
      <c r="AR297">
        <v>0</v>
      </c>
      <c r="AS297">
        <f>_xlfn.XLOOKUP(B297,InstallDate!$H$2:$H$389,InstallDate!$BE$2:$BE$389)</f>
        <v>0</v>
      </c>
      <c r="AT297">
        <f t="shared" si="30"/>
        <v>0</v>
      </c>
      <c r="AU297">
        <f t="shared" si="28"/>
        <v>4.6173612784068098E-2</v>
      </c>
      <c r="AV297">
        <f t="shared" si="31"/>
        <v>0</v>
      </c>
      <c r="AW297">
        <f t="shared" si="32"/>
        <v>0</v>
      </c>
      <c r="AX297">
        <f t="shared" si="33"/>
        <v>2</v>
      </c>
      <c r="AY297">
        <f t="shared" si="34"/>
        <v>0</v>
      </c>
      <c r="AZ297">
        <f t="shared" si="29"/>
        <v>2</v>
      </c>
    </row>
    <row r="298" spans="1:52" x14ac:dyDescent="0.2">
      <c r="A298">
        <v>297</v>
      </c>
      <c r="B298" t="s">
        <v>346</v>
      </c>
      <c r="C298">
        <v>0</v>
      </c>
      <c r="H298" t="s">
        <v>346</v>
      </c>
      <c r="I298" t="s">
        <v>45</v>
      </c>
      <c r="Q298" t="s">
        <v>346</v>
      </c>
      <c r="R298">
        <v>194.2323653</v>
      </c>
      <c r="S298">
        <v>6</v>
      </c>
      <c r="T298">
        <v>130</v>
      </c>
      <c r="V298">
        <v>0</v>
      </c>
      <c r="W298">
        <v>0</v>
      </c>
      <c r="X298" t="s">
        <v>346</v>
      </c>
      <c r="Y298">
        <v>1</v>
      </c>
      <c r="Z298">
        <v>6</v>
      </c>
      <c r="AA298">
        <v>194.23</v>
      </c>
      <c r="AB298">
        <v>130</v>
      </c>
      <c r="AC298">
        <v>7.47</v>
      </c>
      <c r="AD298">
        <v>0.08</v>
      </c>
      <c r="AE298">
        <v>0</v>
      </c>
      <c r="AF298">
        <v>0.01</v>
      </c>
      <c r="AG298">
        <v>1</v>
      </c>
      <c r="AH298">
        <v>7.47</v>
      </c>
      <c r="AI298">
        <v>7.47</v>
      </c>
      <c r="AJ298">
        <v>7.47</v>
      </c>
      <c r="AK298">
        <v>0.08</v>
      </c>
      <c r="AL298">
        <v>0.08</v>
      </c>
      <c r="AM298">
        <v>0.08</v>
      </c>
      <c r="AN298">
        <v>0</v>
      </c>
      <c r="AO298">
        <v>0</v>
      </c>
      <c r="AP298">
        <v>0</v>
      </c>
      <c r="AQ298">
        <v>194.2323653</v>
      </c>
      <c r="AR298">
        <v>0</v>
      </c>
      <c r="AS298">
        <f>_xlfn.XLOOKUP(B298,InstallDate!$H$2:$H$389,InstallDate!$BE$2:$BE$389)</f>
        <v>0</v>
      </c>
      <c r="AT298">
        <f t="shared" si="30"/>
        <v>0</v>
      </c>
      <c r="AU298">
        <f t="shared" si="28"/>
        <v>5.99855456516502E-2</v>
      </c>
      <c r="AV298">
        <f t="shared" si="31"/>
        <v>0</v>
      </c>
      <c r="AW298">
        <f t="shared" si="32"/>
        <v>0</v>
      </c>
      <c r="AX298">
        <f t="shared" si="33"/>
        <v>2</v>
      </c>
      <c r="AY298">
        <f t="shared" si="34"/>
        <v>0</v>
      </c>
      <c r="AZ298">
        <f t="shared" si="29"/>
        <v>2</v>
      </c>
    </row>
    <row r="299" spans="1:52" x14ac:dyDescent="0.2">
      <c r="A299">
        <v>298</v>
      </c>
      <c r="B299" t="s">
        <v>347</v>
      </c>
      <c r="C299">
        <v>0</v>
      </c>
      <c r="H299" t="s">
        <v>347</v>
      </c>
      <c r="I299" t="s">
        <v>45</v>
      </c>
      <c r="Q299" t="s">
        <v>347</v>
      </c>
      <c r="R299">
        <v>36.315487099999999</v>
      </c>
      <c r="S299">
        <v>6</v>
      </c>
      <c r="T299">
        <v>130</v>
      </c>
      <c r="V299">
        <v>0</v>
      </c>
      <c r="W299">
        <v>0</v>
      </c>
      <c r="X299" t="s">
        <v>347</v>
      </c>
      <c r="Y299">
        <v>1</v>
      </c>
      <c r="Z299">
        <v>6</v>
      </c>
      <c r="AA299">
        <v>36.32</v>
      </c>
      <c r="AB299">
        <v>130</v>
      </c>
      <c r="AC299">
        <v>7.47</v>
      </c>
      <c r="AD299">
        <v>0.08</v>
      </c>
      <c r="AE299">
        <v>0</v>
      </c>
      <c r="AF299">
        <v>0.01</v>
      </c>
      <c r="AG299">
        <v>1</v>
      </c>
      <c r="AH299">
        <v>7.47</v>
      </c>
      <c r="AI299">
        <v>7.47</v>
      </c>
      <c r="AJ299">
        <v>7.47</v>
      </c>
      <c r="AK299">
        <v>0.08</v>
      </c>
      <c r="AL299">
        <v>0.08</v>
      </c>
      <c r="AM299">
        <v>0.08</v>
      </c>
      <c r="AN299">
        <v>0</v>
      </c>
      <c r="AO299">
        <v>0</v>
      </c>
      <c r="AP299">
        <v>0</v>
      </c>
      <c r="AQ299">
        <v>36.315487099999999</v>
      </c>
      <c r="AR299">
        <v>0</v>
      </c>
      <c r="AS299">
        <f>_xlfn.XLOOKUP(B299,InstallDate!$H$2:$H$389,InstallDate!$BE$2:$BE$389)</f>
        <v>0</v>
      </c>
      <c r="AT299">
        <f t="shared" si="30"/>
        <v>0</v>
      </c>
      <c r="AU299">
        <f t="shared" si="28"/>
        <v>5.99855456516502E-2</v>
      </c>
      <c r="AV299">
        <f t="shared" si="31"/>
        <v>0</v>
      </c>
      <c r="AW299">
        <f t="shared" si="32"/>
        <v>0</v>
      </c>
      <c r="AX299">
        <f t="shared" si="33"/>
        <v>2</v>
      </c>
      <c r="AY299">
        <f t="shared" si="34"/>
        <v>0</v>
      </c>
      <c r="AZ299">
        <f t="shared" si="29"/>
        <v>2</v>
      </c>
    </row>
    <row r="300" spans="1:52" x14ac:dyDescent="0.2">
      <c r="A300">
        <v>299</v>
      </c>
      <c r="B300" t="s">
        <v>348</v>
      </c>
      <c r="C300">
        <v>0</v>
      </c>
      <c r="H300" t="s">
        <v>348</v>
      </c>
      <c r="I300" t="s">
        <v>45</v>
      </c>
      <c r="Q300" t="s">
        <v>348</v>
      </c>
      <c r="R300">
        <v>172.9250485</v>
      </c>
      <c r="S300">
        <v>6</v>
      </c>
      <c r="T300">
        <v>130</v>
      </c>
      <c r="V300">
        <v>0</v>
      </c>
      <c r="W300">
        <v>0</v>
      </c>
      <c r="X300" t="s">
        <v>348</v>
      </c>
      <c r="Y300">
        <v>1</v>
      </c>
      <c r="Z300">
        <v>6</v>
      </c>
      <c r="AA300">
        <v>172.93</v>
      </c>
      <c r="AB300">
        <v>130</v>
      </c>
      <c r="AC300">
        <v>7.47</v>
      </c>
      <c r="AD300">
        <v>0.08</v>
      </c>
      <c r="AE300">
        <v>0</v>
      </c>
      <c r="AF300">
        <v>0.01</v>
      </c>
      <c r="AG300">
        <v>1</v>
      </c>
      <c r="AH300">
        <v>7.47</v>
      </c>
      <c r="AI300">
        <v>7.47</v>
      </c>
      <c r="AJ300">
        <v>7.47</v>
      </c>
      <c r="AK300">
        <v>0.08</v>
      </c>
      <c r="AL300">
        <v>0.08</v>
      </c>
      <c r="AM300">
        <v>0.08</v>
      </c>
      <c r="AN300">
        <v>0</v>
      </c>
      <c r="AO300">
        <v>0</v>
      </c>
      <c r="AP300">
        <v>0</v>
      </c>
      <c r="AQ300">
        <v>172.9250485</v>
      </c>
      <c r="AR300">
        <v>0</v>
      </c>
      <c r="AS300">
        <f>_xlfn.XLOOKUP(B300,InstallDate!$H$2:$H$389,InstallDate!$BE$2:$BE$389)</f>
        <v>0</v>
      </c>
      <c r="AT300">
        <f t="shared" si="30"/>
        <v>0</v>
      </c>
      <c r="AU300">
        <f t="shared" si="28"/>
        <v>5.99855456516502E-2</v>
      </c>
      <c r="AV300">
        <f t="shared" si="31"/>
        <v>0</v>
      </c>
      <c r="AW300">
        <f t="shared" si="32"/>
        <v>0</v>
      </c>
      <c r="AX300">
        <f t="shared" si="33"/>
        <v>2</v>
      </c>
      <c r="AY300">
        <f t="shared" si="34"/>
        <v>0</v>
      </c>
      <c r="AZ300">
        <f t="shared" si="29"/>
        <v>2</v>
      </c>
    </row>
    <row r="301" spans="1:52" x14ac:dyDescent="0.2">
      <c r="A301">
        <v>300</v>
      </c>
      <c r="B301" t="s">
        <v>349</v>
      </c>
      <c r="C301">
        <v>0</v>
      </c>
      <c r="H301" t="s">
        <v>349</v>
      </c>
      <c r="I301" t="s">
        <v>45</v>
      </c>
      <c r="Q301" t="s">
        <v>349</v>
      </c>
      <c r="R301">
        <v>22.914202639999999</v>
      </c>
      <c r="S301">
        <v>6</v>
      </c>
      <c r="T301">
        <v>130</v>
      </c>
      <c r="V301">
        <v>0</v>
      </c>
      <c r="W301">
        <v>0</v>
      </c>
      <c r="X301" t="s">
        <v>349</v>
      </c>
      <c r="Y301">
        <v>1</v>
      </c>
      <c r="Z301">
        <v>6</v>
      </c>
      <c r="AA301">
        <v>22.91</v>
      </c>
      <c r="AB301">
        <v>130</v>
      </c>
      <c r="AC301">
        <v>7.47</v>
      </c>
      <c r="AD301">
        <v>0.08</v>
      </c>
      <c r="AE301">
        <v>0</v>
      </c>
      <c r="AF301">
        <v>0.01</v>
      </c>
      <c r="AG301">
        <v>1</v>
      </c>
      <c r="AH301">
        <v>7.47</v>
      </c>
      <c r="AI301">
        <v>7.47</v>
      </c>
      <c r="AJ301">
        <v>7.47</v>
      </c>
      <c r="AK301">
        <v>0.08</v>
      </c>
      <c r="AL301">
        <v>0.08</v>
      </c>
      <c r="AM301">
        <v>0.08</v>
      </c>
      <c r="AN301">
        <v>0</v>
      </c>
      <c r="AO301">
        <v>0</v>
      </c>
      <c r="AP301">
        <v>0</v>
      </c>
      <c r="AQ301">
        <v>22.914202639999999</v>
      </c>
      <c r="AR301">
        <v>0</v>
      </c>
      <c r="AS301">
        <f>_xlfn.XLOOKUP(B301,InstallDate!$H$2:$H$389,InstallDate!$BE$2:$BE$389)</f>
        <v>0</v>
      </c>
      <c r="AT301">
        <f t="shared" si="30"/>
        <v>0</v>
      </c>
      <c r="AU301">
        <f t="shared" si="28"/>
        <v>5.99855456516502E-2</v>
      </c>
      <c r="AV301">
        <f t="shared" si="31"/>
        <v>0</v>
      </c>
      <c r="AW301">
        <f t="shared" si="32"/>
        <v>0</v>
      </c>
      <c r="AX301">
        <f t="shared" si="33"/>
        <v>2</v>
      </c>
      <c r="AY301">
        <f t="shared" si="34"/>
        <v>0</v>
      </c>
      <c r="AZ301">
        <f t="shared" si="29"/>
        <v>2</v>
      </c>
    </row>
    <row r="302" spans="1:52" x14ac:dyDescent="0.2">
      <c r="A302">
        <v>301</v>
      </c>
      <c r="B302" t="s">
        <v>350</v>
      </c>
      <c r="C302">
        <v>0</v>
      </c>
      <c r="H302" t="s">
        <v>350</v>
      </c>
      <c r="I302" t="s">
        <v>45</v>
      </c>
      <c r="Q302" t="s">
        <v>350</v>
      </c>
      <c r="R302">
        <v>188.75074069999999</v>
      </c>
      <c r="S302">
        <v>6</v>
      </c>
      <c r="T302">
        <v>130</v>
      </c>
      <c r="V302">
        <v>0</v>
      </c>
      <c r="W302">
        <v>0</v>
      </c>
      <c r="X302" t="s">
        <v>350</v>
      </c>
      <c r="Y302">
        <v>1</v>
      </c>
      <c r="Z302">
        <v>6</v>
      </c>
      <c r="AA302">
        <v>188.75</v>
      </c>
      <c r="AB302">
        <v>130</v>
      </c>
      <c r="AC302">
        <v>7.47</v>
      </c>
      <c r="AD302">
        <v>0.08</v>
      </c>
      <c r="AE302">
        <v>0</v>
      </c>
      <c r="AF302">
        <v>0.01</v>
      </c>
      <c r="AG302">
        <v>1</v>
      </c>
      <c r="AH302">
        <v>7.47</v>
      </c>
      <c r="AI302">
        <v>7.47</v>
      </c>
      <c r="AJ302">
        <v>7.47</v>
      </c>
      <c r="AK302">
        <v>0.08</v>
      </c>
      <c r="AL302">
        <v>0.08</v>
      </c>
      <c r="AM302">
        <v>0.08</v>
      </c>
      <c r="AN302">
        <v>0</v>
      </c>
      <c r="AO302">
        <v>0</v>
      </c>
      <c r="AP302">
        <v>0</v>
      </c>
      <c r="AQ302">
        <v>188.75074069999999</v>
      </c>
      <c r="AR302">
        <v>0</v>
      </c>
      <c r="AS302">
        <f>_xlfn.XLOOKUP(B302,InstallDate!$H$2:$H$389,InstallDate!$BE$2:$BE$389)</f>
        <v>0</v>
      </c>
      <c r="AT302">
        <f t="shared" si="30"/>
        <v>0</v>
      </c>
      <c r="AU302">
        <f t="shared" si="28"/>
        <v>5.99855456516502E-2</v>
      </c>
      <c r="AV302">
        <f t="shared" si="31"/>
        <v>0</v>
      </c>
      <c r="AW302">
        <f t="shared" si="32"/>
        <v>0</v>
      </c>
      <c r="AX302">
        <f t="shared" si="33"/>
        <v>2</v>
      </c>
      <c r="AY302">
        <f t="shared" si="34"/>
        <v>0</v>
      </c>
      <c r="AZ302">
        <f t="shared" si="29"/>
        <v>2</v>
      </c>
    </row>
    <row r="303" spans="1:52" x14ac:dyDescent="0.2">
      <c r="A303">
        <v>302</v>
      </c>
      <c r="B303" t="s">
        <v>351</v>
      </c>
      <c r="C303">
        <v>0</v>
      </c>
      <c r="H303" t="s">
        <v>351</v>
      </c>
      <c r="I303" t="s">
        <v>45</v>
      </c>
      <c r="Q303" t="s">
        <v>351</v>
      </c>
      <c r="R303">
        <v>889.72150580000005</v>
      </c>
      <c r="S303">
        <v>6</v>
      </c>
      <c r="T303">
        <v>130</v>
      </c>
      <c r="V303">
        <v>0</v>
      </c>
      <c r="W303">
        <v>0</v>
      </c>
      <c r="X303" t="s">
        <v>351</v>
      </c>
      <c r="Y303">
        <v>1</v>
      </c>
      <c r="Z303">
        <v>6</v>
      </c>
      <c r="AA303">
        <v>889.72</v>
      </c>
      <c r="AB303">
        <v>130</v>
      </c>
      <c r="AC303">
        <v>4.13</v>
      </c>
      <c r="AD303">
        <v>0.05</v>
      </c>
      <c r="AE303">
        <v>0</v>
      </c>
      <c r="AF303">
        <v>0</v>
      </c>
      <c r="AG303">
        <v>1</v>
      </c>
      <c r="AH303">
        <v>4.13</v>
      </c>
      <c r="AI303">
        <v>4.13</v>
      </c>
      <c r="AJ303">
        <v>4.13</v>
      </c>
      <c r="AK303">
        <v>0.05</v>
      </c>
      <c r="AL303">
        <v>0.05</v>
      </c>
      <c r="AM303">
        <v>0.05</v>
      </c>
      <c r="AN303">
        <v>0</v>
      </c>
      <c r="AO303">
        <v>0</v>
      </c>
      <c r="AP303">
        <v>0</v>
      </c>
      <c r="AQ303">
        <v>889.72150580000005</v>
      </c>
      <c r="AR303">
        <v>0</v>
      </c>
      <c r="AS303">
        <f>_xlfn.XLOOKUP(B303,InstallDate!$H$2:$H$389,InstallDate!$BE$2:$BE$389)</f>
        <v>0</v>
      </c>
      <c r="AT303">
        <f t="shared" si="30"/>
        <v>0</v>
      </c>
      <c r="AU303">
        <f t="shared" si="28"/>
        <v>3.316469926925239E-2</v>
      </c>
      <c r="AV303">
        <f t="shared" si="31"/>
        <v>0</v>
      </c>
      <c r="AW303">
        <f t="shared" si="32"/>
        <v>0</v>
      </c>
      <c r="AX303">
        <f t="shared" si="33"/>
        <v>0</v>
      </c>
      <c r="AY303">
        <f t="shared" si="34"/>
        <v>1</v>
      </c>
      <c r="AZ303">
        <f t="shared" si="29"/>
        <v>1</v>
      </c>
    </row>
    <row r="304" spans="1:52" x14ac:dyDescent="0.2">
      <c r="A304">
        <v>303</v>
      </c>
      <c r="B304" t="s">
        <v>352</v>
      </c>
      <c r="C304">
        <v>0</v>
      </c>
      <c r="H304" t="s">
        <v>352</v>
      </c>
      <c r="I304" t="s">
        <v>45</v>
      </c>
      <c r="Q304" t="s">
        <v>352</v>
      </c>
      <c r="R304">
        <v>37.876470670000003</v>
      </c>
      <c r="S304">
        <v>6</v>
      </c>
      <c r="T304">
        <v>130</v>
      </c>
      <c r="V304">
        <v>0</v>
      </c>
      <c r="W304">
        <v>0</v>
      </c>
      <c r="X304" t="s">
        <v>352</v>
      </c>
      <c r="Y304">
        <v>1</v>
      </c>
      <c r="Z304">
        <v>6</v>
      </c>
      <c r="AA304">
        <v>37.880000000000003</v>
      </c>
      <c r="AB304">
        <v>130</v>
      </c>
      <c r="AC304">
        <v>7.33</v>
      </c>
      <c r="AD304">
        <v>0.08</v>
      </c>
      <c r="AE304">
        <v>0</v>
      </c>
      <c r="AF304">
        <v>0.01</v>
      </c>
      <c r="AG304">
        <v>1</v>
      </c>
      <c r="AH304">
        <v>7.33</v>
      </c>
      <c r="AI304">
        <v>7.33</v>
      </c>
      <c r="AJ304">
        <v>7.33</v>
      </c>
      <c r="AK304">
        <v>0.08</v>
      </c>
      <c r="AL304">
        <v>0.08</v>
      </c>
      <c r="AM304">
        <v>0.08</v>
      </c>
      <c r="AN304">
        <v>0</v>
      </c>
      <c r="AO304">
        <v>0</v>
      </c>
      <c r="AP304">
        <v>0</v>
      </c>
      <c r="AQ304">
        <v>37.876470670000003</v>
      </c>
      <c r="AR304">
        <v>0</v>
      </c>
      <c r="AS304">
        <f>_xlfn.XLOOKUP(B304,InstallDate!$H$2:$H$389,InstallDate!$BE$2:$BE$389)</f>
        <v>0</v>
      </c>
      <c r="AT304">
        <f t="shared" si="30"/>
        <v>0</v>
      </c>
      <c r="AU304">
        <f t="shared" si="28"/>
        <v>5.8861318557777244E-2</v>
      </c>
      <c r="AV304">
        <f t="shared" si="31"/>
        <v>0</v>
      </c>
      <c r="AW304">
        <f t="shared" si="32"/>
        <v>0</v>
      </c>
      <c r="AX304">
        <f t="shared" si="33"/>
        <v>2</v>
      </c>
      <c r="AY304">
        <f t="shared" si="34"/>
        <v>0</v>
      </c>
      <c r="AZ304">
        <f t="shared" si="29"/>
        <v>2</v>
      </c>
    </row>
    <row r="305" spans="1:52" x14ac:dyDescent="0.2">
      <c r="A305">
        <v>304</v>
      </c>
      <c r="B305" t="s">
        <v>353</v>
      </c>
      <c r="C305">
        <v>0</v>
      </c>
      <c r="H305" t="s">
        <v>353</v>
      </c>
      <c r="I305" t="s">
        <v>45</v>
      </c>
      <c r="Q305" t="s">
        <v>353</v>
      </c>
      <c r="R305">
        <v>910.85666160000005</v>
      </c>
      <c r="S305">
        <v>6</v>
      </c>
      <c r="T305">
        <v>130</v>
      </c>
      <c r="V305">
        <v>0</v>
      </c>
      <c r="W305">
        <v>0</v>
      </c>
      <c r="X305" t="s">
        <v>353</v>
      </c>
      <c r="Y305">
        <v>1</v>
      </c>
      <c r="Z305">
        <v>6</v>
      </c>
      <c r="AA305">
        <v>910.86</v>
      </c>
      <c r="AB305">
        <v>130</v>
      </c>
      <c r="AC305">
        <v>7.33</v>
      </c>
      <c r="AD305">
        <v>0.08</v>
      </c>
      <c r="AE305">
        <v>0.01</v>
      </c>
      <c r="AF305">
        <v>0.01</v>
      </c>
      <c r="AG305">
        <v>1</v>
      </c>
      <c r="AH305">
        <v>7.33</v>
      </c>
      <c r="AI305">
        <v>7.33</v>
      </c>
      <c r="AJ305">
        <v>7.33</v>
      </c>
      <c r="AK305">
        <v>0.08</v>
      </c>
      <c r="AL305">
        <v>0.08</v>
      </c>
      <c r="AM305">
        <v>0.08</v>
      </c>
      <c r="AN305">
        <v>0.01</v>
      </c>
      <c r="AO305">
        <v>0.01</v>
      </c>
      <c r="AP305">
        <v>0.01</v>
      </c>
      <c r="AQ305">
        <v>910.85666160000005</v>
      </c>
      <c r="AR305">
        <v>0</v>
      </c>
      <c r="AS305">
        <f>_xlfn.XLOOKUP(B305,InstallDate!$H$2:$H$389,InstallDate!$BE$2:$BE$389)</f>
        <v>0</v>
      </c>
      <c r="AT305">
        <f t="shared" si="30"/>
        <v>0</v>
      </c>
      <c r="AU305">
        <f t="shared" si="28"/>
        <v>5.8861318557777244E-2</v>
      </c>
      <c r="AV305">
        <f t="shared" si="31"/>
        <v>0</v>
      </c>
      <c r="AW305">
        <f t="shared" si="32"/>
        <v>0</v>
      </c>
      <c r="AX305">
        <f t="shared" si="33"/>
        <v>2</v>
      </c>
      <c r="AY305">
        <f t="shared" si="34"/>
        <v>0</v>
      </c>
      <c r="AZ305">
        <f t="shared" si="29"/>
        <v>2</v>
      </c>
    </row>
    <row r="306" spans="1:52" x14ac:dyDescent="0.2">
      <c r="A306">
        <v>305</v>
      </c>
      <c r="B306" t="s">
        <v>354</v>
      </c>
      <c r="C306">
        <v>0</v>
      </c>
      <c r="H306" t="s">
        <v>354</v>
      </c>
      <c r="I306" t="s">
        <v>45</v>
      </c>
      <c r="Q306" t="s">
        <v>354</v>
      </c>
      <c r="R306">
        <v>496.55818010000002</v>
      </c>
      <c r="S306">
        <v>6</v>
      </c>
      <c r="T306">
        <v>130</v>
      </c>
      <c r="V306">
        <v>0</v>
      </c>
      <c r="W306">
        <v>0</v>
      </c>
      <c r="X306" t="s">
        <v>354</v>
      </c>
      <c r="Y306">
        <v>1</v>
      </c>
      <c r="Z306">
        <v>6</v>
      </c>
      <c r="AA306">
        <v>496.56</v>
      </c>
      <c r="AB306">
        <v>130</v>
      </c>
      <c r="AC306">
        <v>6.91</v>
      </c>
      <c r="AD306">
        <v>0.08</v>
      </c>
      <c r="AE306">
        <v>0</v>
      </c>
      <c r="AF306">
        <v>0.01</v>
      </c>
      <c r="AG306">
        <v>1</v>
      </c>
      <c r="AH306">
        <v>6.91</v>
      </c>
      <c r="AI306">
        <v>6.91</v>
      </c>
      <c r="AJ306">
        <v>6.91</v>
      </c>
      <c r="AK306">
        <v>0.08</v>
      </c>
      <c r="AL306">
        <v>0.08</v>
      </c>
      <c r="AM306">
        <v>0.08</v>
      </c>
      <c r="AN306">
        <v>0</v>
      </c>
      <c r="AO306">
        <v>0</v>
      </c>
      <c r="AP306">
        <v>0</v>
      </c>
      <c r="AQ306">
        <v>496.55818010000002</v>
      </c>
      <c r="AR306">
        <v>0</v>
      </c>
      <c r="AS306">
        <f>_xlfn.XLOOKUP(B306,InstallDate!$H$2:$H$389,InstallDate!$BE$2:$BE$389)</f>
        <v>0</v>
      </c>
      <c r="AT306">
        <f t="shared" si="30"/>
        <v>0</v>
      </c>
      <c r="AU306">
        <f t="shared" si="28"/>
        <v>5.5488637276158354E-2</v>
      </c>
      <c r="AV306">
        <f t="shared" si="31"/>
        <v>0</v>
      </c>
      <c r="AW306">
        <f t="shared" si="32"/>
        <v>0</v>
      </c>
      <c r="AX306">
        <f t="shared" si="33"/>
        <v>2</v>
      </c>
      <c r="AY306">
        <f t="shared" si="34"/>
        <v>0</v>
      </c>
      <c r="AZ306">
        <f t="shared" si="29"/>
        <v>2</v>
      </c>
    </row>
    <row r="307" spans="1:52" x14ac:dyDescent="0.2">
      <c r="A307">
        <v>306</v>
      </c>
      <c r="B307" t="s">
        <v>355</v>
      </c>
      <c r="C307">
        <v>0</v>
      </c>
      <c r="H307" t="s">
        <v>355</v>
      </c>
      <c r="I307" t="s">
        <v>45</v>
      </c>
      <c r="Q307" t="s">
        <v>355</v>
      </c>
      <c r="R307">
        <v>24.592810660000001</v>
      </c>
      <c r="S307">
        <v>6</v>
      </c>
      <c r="T307">
        <v>130</v>
      </c>
      <c r="V307">
        <v>0</v>
      </c>
      <c r="W307">
        <v>0</v>
      </c>
      <c r="X307" t="s">
        <v>355</v>
      </c>
      <c r="Y307">
        <v>1</v>
      </c>
      <c r="Z307">
        <v>6</v>
      </c>
      <c r="AA307">
        <v>24.59</v>
      </c>
      <c r="AB307">
        <v>130</v>
      </c>
      <c r="AC307">
        <v>4.83</v>
      </c>
      <c r="AD307">
        <v>0.05</v>
      </c>
      <c r="AE307">
        <v>0</v>
      </c>
      <c r="AF307">
        <v>0</v>
      </c>
      <c r="AG307">
        <v>1</v>
      </c>
      <c r="AH307">
        <v>4.83</v>
      </c>
      <c r="AI307">
        <v>4.83</v>
      </c>
      <c r="AJ307">
        <v>4.83</v>
      </c>
      <c r="AK307">
        <v>0.05</v>
      </c>
      <c r="AL307">
        <v>0.05</v>
      </c>
      <c r="AM307">
        <v>0.05</v>
      </c>
      <c r="AN307">
        <v>0</v>
      </c>
      <c r="AO307">
        <v>0</v>
      </c>
      <c r="AP307">
        <v>0</v>
      </c>
      <c r="AQ307">
        <v>24.592810660000001</v>
      </c>
      <c r="AR307">
        <v>0</v>
      </c>
      <c r="AS307">
        <f>_xlfn.XLOOKUP(B307,InstallDate!$H$2:$H$389,InstallDate!$BE$2:$BE$389)</f>
        <v>0</v>
      </c>
      <c r="AT307">
        <f t="shared" si="30"/>
        <v>0</v>
      </c>
      <c r="AU307">
        <f t="shared" si="28"/>
        <v>3.87858347386172E-2</v>
      </c>
      <c r="AV307">
        <f t="shared" si="31"/>
        <v>0</v>
      </c>
      <c r="AW307">
        <f t="shared" si="32"/>
        <v>0</v>
      </c>
      <c r="AX307">
        <f t="shared" si="33"/>
        <v>2</v>
      </c>
      <c r="AY307">
        <f t="shared" si="34"/>
        <v>0</v>
      </c>
      <c r="AZ307">
        <f t="shared" si="29"/>
        <v>2</v>
      </c>
    </row>
    <row r="308" spans="1:52" x14ac:dyDescent="0.2">
      <c r="A308">
        <v>307</v>
      </c>
      <c r="B308" t="s">
        <v>356</v>
      </c>
      <c r="C308">
        <v>0</v>
      </c>
      <c r="H308" t="s">
        <v>356</v>
      </c>
      <c r="I308" t="s">
        <v>45</v>
      </c>
      <c r="Q308" t="s">
        <v>356</v>
      </c>
      <c r="R308">
        <v>34.098851430000003</v>
      </c>
      <c r="S308">
        <v>6</v>
      </c>
      <c r="T308">
        <v>130</v>
      </c>
      <c r="V308">
        <v>0</v>
      </c>
      <c r="W308">
        <v>0</v>
      </c>
      <c r="X308" t="s">
        <v>356</v>
      </c>
      <c r="Y308">
        <v>1</v>
      </c>
      <c r="Z308">
        <v>6</v>
      </c>
      <c r="AA308">
        <v>34.1</v>
      </c>
      <c r="AB308">
        <v>130</v>
      </c>
      <c r="AC308">
        <v>4.83</v>
      </c>
      <c r="AD308">
        <v>0.05</v>
      </c>
      <c r="AE308">
        <v>0</v>
      </c>
      <c r="AF308">
        <v>0</v>
      </c>
      <c r="AG308">
        <v>1</v>
      </c>
      <c r="AH308">
        <v>4.83</v>
      </c>
      <c r="AI308">
        <v>4.83</v>
      </c>
      <c r="AJ308">
        <v>4.83</v>
      </c>
      <c r="AK308">
        <v>0.05</v>
      </c>
      <c r="AL308">
        <v>0.05</v>
      </c>
      <c r="AM308">
        <v>0.05</v>
      </c>
      <c r="AN308">
        <v>0</v>
      </c>
      <c r="AO308">
        <v>0</v>
      </c>
      <c r="AP308">
        <v>0</v>
      </c>
      <c r="AQ308">
        <v>34.098851430000003</v>
      </c>
      <c r="AR308">
        <v>0</v>
      </c>
      <c r="AS308">
        <f>_xlfn.XLOOKUP(B308,InstallDate!$H$2:$H$389,InstallDate!$BE$2:$BE$389)</f>
        <v>0</v>
      </c>
      <c r="AT308">
        <f t="shared" si="30"/>
        <v>0</v>
      </c>
      <c r="AU308">
        <f t="shared" si="28"/>
        <v>3.87858347386172E-2</v>
      </c>
      <c r="AV308">
        <f t="shared" si="31"/>
        <v>0</v>
      </c>
      <c r="AW308">
        <f t="shared" si="32"/>
        <v>0</v>
      </c>
      <c r="AX308">
        <f t="shared" si="33"/>
        <v>2</v>
      </c>
      <c r="AY308">
        <f t="shared" si="34"/>
        <v>0</v>
      </c>
      <c r="AZ308">
        <f t="shared" si="29"/>
        <v>2</v>
      </c>
    </row>
    <row r="309" spans="1:52" x14ac:dyDescent="0.2">
      <c r="A309">
        <v>308</v>
      </c>
      <c r="B309" t="s">
        <v>357</v>
      </c>
      <c r="C309">
        <v>0</v>
      </c>
      <c r="H309" t="s">
        <v>357</v>
      </c>
      <c r="I309" t="s">
        <v>45</v>
      </c>
      <c r="Q309" t="s">
        <v>357</v>
      </c>
      <c r="R309">
        <v>737.60058760000004</v>
      </c>
      <c r="S309">
        <v>6</v>
      </c>
      <c r="T309">
        <v>130</v>
      </c>
      <c r="V309">
        <v>0</v>
      </c>
      <c r="W309">
        <v>0</v>
      </c>
      <c r="X309" t="s">
        <v>357</v>
      </c>
      <c r="Y309">
        <v>-1</v>
      </c>
      <c r="Z309">
        <v>6</v>
      </c>
      <c r="AA309">
        <v>737.6</v>
      </c>
      <c r="AB309">
        <v>130</v>
      </c>
      <c r="AC309">
        <v>0.17</v>
      </c>
      <c r="AD309">
        <v>0</v>
      </c>
      <c r="AE309">
        <v>0</v>
      </c>
      <c r="AF309">
        <v>0</v>
      </c>
      <c r="AG309">
        <v>1</v>
      </c>
      <c r="AH309">
        <v>0.17</v>
      </c>
      <c r="AI309">
        <v>0.17</v>
      </c>
      <c r="AJ309">
        <v>0.17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737.60058760000004</v>
      </c>
      <c r="AR309">
        <v>0</v>
      </c>
      <c r="AS309">
        <f>_xlfn.XLOOKUP(B309,InstallDate!$H$2:$H$389,InstallDate!$BE$2:$BE$389)</f>
        <v>0</v>
      </c>
      <c r="AT309">
        <f t="shared" si="30"/>
        <v>0</v>
      </c>
      <c r="AU309">
        <f t="shared" si="28"/>
        <v>1.365132899702883E-3</v>
      </c>
      <c r="AV309">
        <f t="shared" si="31"/>
        <v>0</v>
      </c>
      <c r="AW309">
        <f t="shared" si="32"/>
        <v>0</v>
      </c>
      <c r="AX309">
        <f t="shared" si="33"/>
        <v>0</v>
      </c>
      <c r="AY309">
        <f t="shared" si="34"/>
        <v>1</v>
      </c>
      <c r="AZ309">
        <f t="shared" si="29"/>
        <v>1</v>
      </c>
    </row>
    <row r="310" spans="1:52" x14ac:dyDescent="0.2">
      <c r="A310">
        <v>309</v>
      </c>
      <c r="B310" t="s">
        <v>358</v>
      </c>
      <c r="C310">
        <v>0</v>
      </c>
      <c r="H310" t="s">
        <v>358</v>
      </c>
      <c r="I310" t="s">
        <v>45</v>
      </c>
      <c r="Q310" t="s">
        <v>358</v>
      </c>
      <c r="R310">
        <v>11.06622537</v>
      </c>
      <c r="S310">
        <v>6</v>
      </c>
      <c r="T310">
        <v>130</v>
      </c>
      <c r="V310">
        <v>0</v>
      </c>
      <c r="W310">
        <v>0</v>
      </c>
      <c r="X310" t="s">
        <v>358</v>
      </c>
      <c r="Y310">
        <v>-1</v>
      </c>
      <c r="Z310">
        <v>6</v>
      </c>
      <c r="AA310">
        <v>11.07</v>
      </c>
      <c r="AB310">
        <v>130</v>
      </c>
      <c r="AC310">
        <v>0.87</v>
      </c>
      <c r="AD310">
        <v>0.01</v>
      </c>
      <c r="AE310">
        <v>0</v>
      </c>
      <c r="AF310">
        <v>0</v>
      </c>
      <c r="AG310">
        <v>1</v>
      </c>
      <c r="AH310">
        <v>0.87</v>
      </c>
      <c r="AI310">
        <v>0.87</v>
      </c>
      <c r="AJ310">
        <v>0.87</v>
      </c>
      <c r="AK310">
        <v>0.01</v>
      </c>
      <c r="AL310">
        <v>0.01</v>
      </c>
      <c r="AM310">
        <v>0.01</v>
      </c>
      <c r="AN310">
        <v>0</v>
      </c>
      <c r="AO310">
        <v>0</v>
      </c>
      <c r="AP310">
        <v>0</v>
      </c>
      <c r="AQ310">
        <v>11.06622537</v>
      </c>
      <c r="AR310">
        <v>0</v>
      </c>
      <c r="AS310">
        <f>_xlfn.XLOOKUP(B310,InstallDate!$H$2:$H$389,InstallDate!$BE$2:$BE$389)</f>
        <v>0</v>
      </c>
      <c r="AT310">
        <f t="shared" si="30"/>
        <v>0</v>
      </c>
      <c r="AU310">
        <f t="shared" si="28"/>
        <v>6.9862683690676943E-3</v>
      </c>
      <c r="AV310">
        <f t="shared" si="31"/>
        <v>0</v>
      </c>
      <c r="AW310">
        <f t="shared" si="32"/>
        <v>0</v>
      </c>
      <c r="AX310">
        <f t="shared" si="33"/>
        <v>0</v>
      </c>
      <c r="AY310">
        <f t="shared" si="34"/>
        <v>1</v>
      </c>
      <c r="AZ310">
        <f t="shared" si="29"/>
        <v>1</v>
      </c>
    </row>
    <row r="311" spans="1:52" x14ac:dyDescent="0.2">
      <c r="A311">
        <v>310</v>
      </c>
      <c r="B311" t="s">
        <v>359</v>
      </c>
      <c r="C311">
        <v>0</v>
      </c>
      <c r="H311" t="s">
        <v>359</v>
      </c>
      <c r="I311" t="s">
        <v>45</v>
      </c>
      <c r="Q311" t="s">
        <v>359</v>
      </c>
      <c r="R311">
        <v>9.1854248619999996</v>
      </c>
      <c r="S311">
        <v>6</v>
      </c>
      <c r="T311">
        <v>130</v>
      </c>
      <c r="V311">
        <v>0</v>
      </c>
      <c r="W311">
        <v>0</v>
      </c>
      <c r="X311" t="s">
        <v>359</v>
      </c>
      <c r="Y311">
        <v>-1</v>
      </c>
      <c r="Z311">
        <v>6</v>
      </c>
      <c r="AA311">
        <v>9.19</v>
      </c>
      <c r="AB311">
        <v>130</v>
      </c>
      <c r="AC311">
        <v>0.87</v>
      </c>
      <c r="AD311">
        <v>0.01</v>
      </c>
      <c r="AE311">
        <v>0</v>
      </c>
      <c r="AF311">
        <v>0</v>
      </c>
      <c r="AG311">
        <v>1</v>
      </c>
      <c r="AH311">
        <v>0.87</v>
      </c>
      <c r="AI311">
        <v>0.87</v>
      </c>
      <c r="AJ311">
        <v>0.87</v>
      </c>
      <c r="AK311">
        <v>0.01</v>
      </c>
      <c r="AL311">
        <v>0.01</v>
      </c>
      <c r="AM311">
        <v>0.01</v>
      </c>
      <c r="AN311">
        <v>0</v>
      </c>
      <c r="AO311">
        <v>0</v>
      </c>
      <c r="AP311">
        <v>0</v>
      </c>
      <c r="AQ311">
        <v>9.1854248619999996</v>
      </c>
      <c r="AR311">
        <v>0</v>
      </c>
      <c r="AS311">
        <f>_xlfn.XLOOKUP(B311,InstallDate!$H$2:$H$389,InstallDate!$BE$2:$BE$389)</f>
        <v>0</v>
      </c>
      <c r="AT311">
        <f t="shared" si="30"/>
        <v>0</v>
      </c>
      <c r="AU311">
        <f t="shared" si="28"/>
        <v>6.9862683690676943E-3</v>
      </c>
      <c r="AV311">
        <f t="shared" si="31"/>
        <v>0</v>
      </c>
      <c r="AW311">
        <f t="shared" si="32"/>
        <v>0</v>
      </c>
      <c r="AX311">
        <f t="shared" si="33"/>
        <v>0</v>
      </c>
      <c r="AY311">
        <f t="shared" si="34"/>
        <v>1</v>
      </c>
      <c r="AZ311">
        <f t="shared" si="29"/>
        <v>1</v>
      </c>
    </row>
    <row r="312" spans="1:52" x14ac:dyDescent="0.2">
      <c r="A312">
        <v>311</v>
      </c>
      <c r="B312" t="s">
        <v>360</v>
      </c>
      <c r="C312">
        <v>0</v>
      </c>
      <c r="H312" t="s">
        <v>360</v>
      </c>
      <c r="I312" t="s">
        <v>45</v>
      </c>
      <c r="Q312" t="s">
        <v>360</v>
      </c>
      <c r="R312">
        <v>15.088027070000001</v>
      </c>
      <c r="S312">
        <v>6</v>
      </c>
      <c r="T312">
        <v>130</v>
      </c>
      <c r="V312">
        <v>0</v>
      </c>
      <c r="W312">
        <v>0</v>
      </c>
      <c r="X312" t="s">
        <v>360</v>
      </c>
      <c r="Y312">
        <v>0</v>
      </c>
      <c r="Z312">
        <v>6</v>
      </c>
      <c r="AA312">
        <v>15.09</v>
      </c>
      <c r="AB312">
        <v>130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15.088027070000001</v>
      </c>
      <c r="AR312">
        <v>0</v>
      </c>
      <c r="AS312">
        <f>_xlfn.XLOOKUP(B312,InstallDate!$H$2:$H$389,InstallDate!$BE$2:$BE$389)</f>
        <v>0</v>
      </c>
      <c r="AT312">
        <f t="shared" si="30"/>
        <v>0</v>
      </c>
      <c r="AU312">
        <f t="shared" si="28"/>
        <v>0</v>
      </c>
      <c r="AV312">
        <f t="shared" si="31"/>
        <v>0</v>
      </c>
      <c r="AW312">
        <f t="shared" si="32"/>
        <v>0</v>
      </c>
      <c r="AX312">
        <f t="shared" si="33"/>
        <v>0</v>
      </c>
      <c r="AY312">
        <f t="shared" si="34"/>
        <v>1</v>
      </c>
      <c r="AZ312">
        <f t="shared" si="29"/>
        <v>1</v>
      </c>
    </row>
    <row r="313" spans="1:52" x14ac:dyDescent="0.2">
      <c r="A313">
        <v>312</v>
      </c>
      <c r="B313" t="s">
        <v>361</v>
      </c>
      <c r="C313">
        <v>0</v>
      </c>
      <c r="H313" t="s">
        <v>361</v>
      </c>
      <c r="I313" t="s">
        <v>45</v>
      </c>
      <c r="Q313" t="s">
        <v>361</v>
      </c>
      <c r="R313">
        <v>563.64660890000005</v>
      </c>
      <c r="S313">
        <v>6</v>
      </c>
      <c r="T313">
        <v>130</v>
      </c>
      <c r="V313">
        <v>0</v>
      </c>
      <c r="W313">
        <v>0</v>
      </c>
      <c r="X313" t="s">
        <v>361</v>
      </c>
      <c r="Y313">
        <v>0</v>
      </c>
      <c r="Z313">
        <v>6</v>
      </c>
      <c r="AA313">
        <v>563.65</v>
      </c>
      <c r="AB313">
        <v>130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563.64660890000005</v>
      </c>
      <c r="AR313">
        <v>0</v>
      </c>
      <c r="AS313">
        <f>_xlfn.XLOOKUP(B313,InstallDate!$H$2:$H$389,InstallDate!$BE$2:$BE$389)</f>
        <v>0</v>
      </c>
      <c r="AT313">
        <f t="shared" si="30"/>
        <v>0</v>
      </c>
      <c r="AU313">
        <f t="shared" si="28"/>
        <v>0</v>
      </c>
      <c r="AV313">
        <f t="shared" si="31"/>
        <v>0</v>
      </c>
      <c r="AW313">
        <f t="shared" si="32"/>
        <v>0</v>
      </c>
      <c r="AX313">
        <f t="shared" si="33"/>
        <v>0</v>
      </c>
      <c r="AY313">
        <f t="shared" si="34"/>
        <v>1</v>
      </c>
      <c r="AZ313">
        <f t="shared" si="29"/>
        <v>1</v>
      </c>
    </row>
    <row r="314" spans="1:52" x14ac:dyDescent="0.2">
      <c r="A314">
        <v>313</v>
      </c>
      <c r="B314" t="s">
        <v>362</v>
      </c>
      <c r="C314">
        <v>0</v>
      </c>
      <c r="H314" t="s">
        <v>362</v>
      </c>
      <c r="I314" t="s">
        <v>45</v>
      </c>
      <c r="Q314" t="s">
        <v>362</v>
      </c>
      <c r="R314">
        <v>40.28210035</v>
      </c>
      <c r="S314">
        <v>6</v>
      </c>
      <c r="T314">
        <v>130</v>
      </c>
      <c r="V314">
        <v>0</v>
      </c>
      <c r="W314">
        <v>0</v>
      </c>
      <c r="X314" t="s">
        <v>362</v>
      </c>
      <c r="Y314">
        <v>0</v>
      </c>
      <c r="Z314">
        <v>6</v>
      </c>
      <c r="AA314">
        <v>40.28</v>
      </c>
      <c r="AB314">
        <v>130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40.28210035</v>
      </c>
      <c r="AR314">
        <v>0</v>
      </c>
      <c r="AS314">
        <f>_xlfn.XLOOKUP(B314,InstallDate!$H$2:$H$389,InstallDate!$BE$2:$BE$389)</f>
        <v>0</v>
      </c>
      <c r="AT314">
        <f t="shared" si="30"/>
        <v>0</v>
      </c>
      <c r="AU314">
        <f t="shared" si="28"/>
        <v>0</v>
      </c>
      <c r="AV314">
        <f t="shared" si="31"/>
        <v>0</v>
      </c>
      <c r="AW314">
        <f t="shared" si="32"/>
        <v>0</v>
      </c>
      <c r="AX314">
        <f t="shared" si="33"/>
        <v>0</v>
      </c>
      <c r="AY314">
        <f t="shared" si="34"/>
        <v>1</v>
      </c>
      <c r="AZ314">
        <f t="shared" si="29"/>
        <v>1</v>
      </c>
    </row>
    <row r="315" spans="1:52" x14ac:dyDescent="0.2">
      <c r="A315">
        <v>314</v>
      </c>
      <c r="B315" t="s">
        <v>363</v>
      </c>
      <c r="C315">
        <v>0</v>
      </c>
      <c r="H315" t="s">
        <v>363</v>
      </c>
      <c r="I315" t="s">
        <v>45</v>
      </c>
      <c r="Q315" t="s">
        <v>363</v>
      </c>
      <c r="R315">
        <v>360.431286</v>
      </c>
      <c r="S315">
        <v>6</v>
      </c>
      <c r="T315">
        <v>130</v>
      </c>
      <c r="V315">
        <v>0</v>
      </c>
      <c r="W315">
        <v>0</v>
      </c>
      <c r="X315" t="s">
        <v>363</v>
      </c>
      <c r="Y315">
        <v>0</v>
      </c>
      <c r="Z315">
        <v>6</v>
      </c>
      <c r="AA315">
        <v>360.43</v>
      </c>
      <c r="AB315">
        <v>130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360.431286</v>
      </c>
      <c r="AR315">
        <v>0</v>
      </c>
      <c r="AS315">
        <f>_xlfn.XLOOKUP(B315,InstallDate!$H$2:$H$389,InstallDate!$BE$2:$BE$389)</f>
        <v>0</v>
      </c>
      <c r="AT315">
        <f t="shared" si="30"/>
        <v>0</v>
      </c>
      <c r="AU315">
        <f t="shared" si="28"/>
        <v>0</v>
      </c>
      <c r="AV315">
        <f t="shared" si="31"/>
        <v>0</v>
      </c>
      <c r="AW315">
        <f t="shared" si="32"/>
        <v>0</v>
      </c>
      <c r="AX315">
        <f t="shared" si="33"/>
        <v>0</v>
      </c>
      <c r="AY315">
        <f t="shared" si="34"/>
        <v>1</v>
      </c>
      <c r="AZ315">
        <f t="shared" si="29"/>
        <v>1</v>
      </c>
    </row>
    <row r="316" spans="1:52" x14ac:dyDescent="0.2">
      <c r="A316">
        <v>315</v>
      </c>
      <c r="B316" t="s">
        <v>364</v>
      </c>
      <c r="C316">
        <v>0</v>
      </c>
      <c r="H316" t="s">
        <v>364</v>
      </c>
      <c r="I316" t="s">
        <v>45</v>
      </c>
      <c r="Q316" t="s">
        <v>364</v>
      </c>
      <c r="R316">
        <v>357.90599500000002</v>
      </c>
      <c r="S316">
        <v>6</v>
      </c>
      <c r="T316">
        <v>130</v>
      </c>
      <c r="V316">
        <v>0</v>
      </c>
      <c r="W316">
        <v>0</v>
      </c>
      <c r="X316" t="s">
        <v>364</v>
      </c>
      <c r="Y316">
        <v>0</v>
      </c>
      <c r="Z316">
        <v>6</v>
      </c>
      <c r="AA316">
        <v>357.91</v>
      </c>
      <c r="AB316">
        <v>130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357.90599500000002</v>
      </c>
      <c r="AR316">
        <v>0</v>
      </c>
      <c r="AS316">
        <f>_xlfn.XLOOKUP(B316,InstallDate!$H$2:$H$389,InstallDate!$BE$2:$BE$389)</f>
        <v>0</v>
      </c>
      <c r="AT316">
        <f t="shared" si="30"/>
        <v>0</v>
      </c>
      <c r="AU316">
        <f t="shared" si="28"/>
        <v>0</v>
      </c>
      <c r="AV316">
        <f t="shared" si="31"/>
        <v>0</v>
      </c>
      <c r="AW316">
        <f t="shared" si="32"/>
        <v>0</v>
      </c>
      <c r="AX316">
        <f t="shared" si="33"/>
        <v>0</v>
      </c>
      <c r="AY316">
        <f t="shared" si="34"/>
        <v>1</v>
      </c>
      <c r="AZ316">
        <f t="shared" si="29"/>
        <v>1</v>
      </c>
    </row>
    <row r="317" spans="1:52" x14ac:dyDescent="0.2">
      <c r="A317">
        <v>316</v>
      </c>
      <c r="B317" t="s">
        <v>365</v>
      </c>
      <c r="C317">
        <v>0</v>
      </c>
      <c r="H317" t="s">
        <v>365</v>
      </c>
      <c r="I317" t="s">
        <v>45</v>
      </c>
      <c r="Q317" t="s">
        <v>365</v>
      </c>
      <c r="R317">
        <v>181.93156060000001</v>
      </c>
      <c r="S317">
        <v>6</v>
      </c>
      <c r="T317">
        <v>130</v>
      </c>
      <c r="V317">
        <v>0</v>
      </c>
      <c r="W317">
        <v>0</v>
      </c>
      <c r="X317" t="s">
        <v>365</v>
      </c>
      <c r="Y317">
        <v>1</v>
      </c>
      <c r="Z317">
        <v>6</v>
      </c>
      <c r="AA317">
        <v>181.93</v>
      </c>
      <c r="AB317">
        <v>130</v>
      </c>
      <c r="AC317">
        <v>3.34</v>
      </c>
      <c r="AD317">
        <v>0.04</v>
      </c>
      <c r="AE317">
        <v>0</v>
      </c>
      <c r="AF317">
        <v>0</v>
      </c>
      <c r="AG317">
        <v>1</v>
      </c>
      <c r="AH317">
        <v>3.34</v>
      </c>
      <c r="AI317">
        <v>3.34</v>
      </c>
      <c r="AJ317">
        <v>3.34</v>
      </c>
      <c r="AK317">
        <v>0.04</v>
      </c>
      <c r="AL317">
        <v>0.04</v>
      </c>
      <c r="AM317">
        <v>0.04</v>
      </c>
      <c r="AN317">
        <v>0</v>
      </c>
      <c r="AO317">
        <v>0</v>
      </c>
      <c r="AP317">
        <v>0</v>
      </c>
      <c r="AQ317">
        <v>181.93156060000001</v>
      </c>
      <c r="AR317">
        <v>0</v>
      </c>
      <c r="AS317">
        <f>_xlfn.XLOOKUP(B317,InstallDate!$H$2:$H$389,InstallDate!$BE$2:$BE$389)</f>
        <v>0</v>
      </c>
      <c r="AT317">
        <f t="shared" si="30"/>
        <v>0</v>
      </c>
      <c r="AU317">
        <f t="shared" si="28"/>
        <v>2.6820846382397814E-2</v>
      </c>
      <c r="AV317">
        <f t="shared" si="31"/>
        <v>0</v>
      </c>
      <c r="AW317">
        <f t="shared" si="32"/>
        <v>0</v>
      </c>
      <c r="AX317">
        <f t="shared" si="33"/>
        <v>0</v>
      </c>
      <c r="AY317">
        <f t="shared" si="34"/>
        <v>1</v>
      </c>
      <c r="AZ317">
        <f t="shared" si="29"/>
        <v>1</v>
      </c>
    </row>
    <row r="318" spans="1:52" x14ac:dyDescent="0.2">
      <c r="A318">
        <v>317</v>
      </c>
      <c r="B318" t="s">
        <v>366</v>
      </c>
      <c r="C318">
        <v>0</v>
      </c>
      <c r="H318" t="s">
        <v>366</v>
      </c>
      <c r="I318" t="s">
        <v>45</v>
      </c>
      <c r="Q318" t="s">
        <v>366</v>
      </c>
      <c r="R318">
        <v>1055.9055390000001</v>
      </c>
      <c r="S318">
        <v>6</v>
      </c>
      <c r="T318">
        <v>130</v>
      </c>
      <c r="V318">
        <v>0</v>
      </c>
      <c r="W318">
        <v>0</v>
      </c>
      <c r="X318" t="s">
        <v>366</v>
      </c>
      <c r="Y318">
        <v>1</v>
      </c>
      <c r="Z318">
        <v>6</v>
      </c>
      <c r="AA318">
        <v>1055.9100000000001</v>
      </c>
      <c r="AB318">
        <v>130</v>
      </c>
      <c r="AC318">
        <v>3.34</v>
      </c>
      <c r="AD318">
        <v>0.04</v>
      </c>
      <c r="AE318">
        <v>0</v>
      </c>
      <c r="AF318">
        <v>0</v>
      </c>
      <c r="AG318">
        <v>1</v>
      </c>
      <c r="AH318">
        <v>3.34</v>
      </c>
      <c r="AI318">
        <v>3.34</v>
      </c>
      <c r="AJ318">
        <v>3.34</v>
      </c>
      <c r="AK318">
        <v>0.04</v>
      </c>
      <c r="AL318">
        <v>0.04</v>
      </c>
      <c r="AM318">
        <v>0.04</v>
      </c>
      <c r="AN318">
        <v>0</v>
      </c>
      <c r="AO318">
        <v>0</v>
      </c>
      <c r="AP318">
        <v>0</v>
      </c>
      <c r="AQ318">
        <v>1055.9055390000001</v>
      </c>
      <c r="AR318">
        <v>0</v>
      </c>
      <c r="AS318">
        <f>_xlfn.XLOOKUP(B318,InstallDate!$H$2:$H$389,InstallDate!$BE$2:$BE$389)</f>
        <v>0</v>
      </c>
      <c r="AT318">
        <f t="shared" si="30"/>
        <v>0</v>
      </c>
      <c r="AU318">
        <f t="shared" si="28"/>
        <v>2.6820846382397814E-2</v>
      </c>
      <c r="AV318">
        <f t="shared" si="31"/>
        <v>0</v>
      </c>
      <c r="AW318">
        <f t="shared" si="32"/>
        <v>0</v>
      </c>
      <c r="AX318">
        <f t="shared" si="33"/>
        <v>0</v>
      </c>
      <c r="AY318">
        <f t="shared" si="34"/>
        <v>1</v>
      </c>
      <c r="AZ318">
        <f t="shared" si="29"/>
        <v>1</v>
      </c>
    </row>
    <row r="319" spans="1:52" x14ac:dyDescent="0.2">
      <c r="A319">
        <v>318</v>
      </c>
      <c r="B319" t="s">
        <v>367</v>
      </c>
      <c r="C319">
        <v>0</v>
      </c>
      <c r="H319" t="s">
        <v>367</v>
      </c>
      <c r="I319" t="s">
        <v>45</v>
      </c>
      <c r="Q319" t="s">
        <v>367</v>
      </c>
      <c r="R319">
        <v>94.133673770000001</v>
      </c>
      <c r="S319">
        <v>6</v>
      </c>
      <c r="T319">
        <v>130</v>
      </c>
      <c r="V319">
        <v>0</v>
      </c>
      <c r="W319">
        <v>0</v>
      </c>
      <c r="X319" t="s">
        <v>367</v>
      </c>
      <c r="Y319">
        <v>1</v>
      </c>
      <c r="Z319">
        <v>6</v>
      </c>
      <c r="AA319">
        <v>94.13</v>
      </c>
      <c r="AB319">
        <v>130</v>
      </c>
      <c r="AC319">
        <v>3.2</v>
      </c>
      <c r="AD319">
        <v>0.04</v>
      </c>
      <c r="AE319">
        <v>0</v>
      </c>
      <c r="AF319">
        <v>0</v>
      </c>
      <c r="AG319">
        <v>1</v>
      </c>
      <c r="AH319">
        <v>3.2</v>
      </c>
      <c r="AI319">
        <v>3.2</v>
      </c>
      <c r="AJ319">
        <v>3.2</v>
      </c>
      <c r="AK319">
        <v>0.04</v>
      </c>
      <c r="AL319">
        <v>0.04</v>
      </c>
      <c r="AM319">
        <v>0.04</v>
      </c>
      <c r="AN319">
        <v>0</v>
      </c>
      <c r="AO319">
        <v>0</v>
      </c>
      <c r="AP319">
        <v>0</v>
      </c>
      <c r="AQ319">
        <v>94.133673770000001</v>
      </c>
      <c r="AR319">
        <v>0</v>
      </c>
      <c r="AS319">
        <f>_xlfn.XLOOKUP(B319,InstallDate!$H$2:$H$389,InstallDate!$BE$2:$BE$389)</f>
        <v>0</v>
      </c>
      <c r="AT319">
        <f t="shared" si="30"/>
        <v>0</v>
      </c>
      <c r="AU319">
        <f t="shared" si="28"/>
        <v>2.5696619288524854E-2</v>
      </c>
      <c r="AV319">
        <f t="shared" si="31"/>
        <v>0</v>
      </c>
      <c r="AW319">
        <f t="shared" si="32"/>
        <v>0</v>
      </c>
      <c r="AX319">
        <f t="shared" si="33"/>
        <v>0</v>
      </c>
      <c r="AY319">
        <f t="shared" si="34"/>
        <v>1</v>
      </c>
      <c r="AZ319">
        <f t="shared" si="29"/>
        <v>1</v>
      </c>
    </row>
    <row r="320" spans="1:52" x14ac:dyDescent="0.2">
      <c r="A320">
        <v>319</v>
      </c>
      <c r="B320" t="s">
        <v>368</v>
      </c>
      <c r="C320">
        <v>0</v>
      </c>
      <c r="H320" t="s">
        <v>368</v>
      </c>
      <c r="I320" t="s">
        <v>45</v>
      </c>
      <c r="Q320" t="s">
        <v>368</v>
      </c>
      <c r="R320">
        <v>39.830701380000001</v>
      </c>
      <c r="S320">
        <v>6</v>
      </c>
      <c r="T320">
        <v>130</v>
      </c>
      <c r="V320">
        <v>0</v>
      </c>
      <c r="W320">
        <v>0</v>
      </c>
      <c r="X320" t="s">
        <v>368</v>
      </c>
      <c r="Y320">
        <v>-1</v>
      </c>
      <c r="Z320">
        <v>6</v>
      </c>
      <c r="AA320">
        <v>39.83</v>
      </c>
      <c r="AB320">
        <v>130</v>
      </c>
      <c r="AC320">
        <v>13.23</v>
      </c>
      <c r="AD320">
        <v>0.15</v>
      </c>
      <c r="AE320">
        <v>0</v>
      </c>
      <c r="AF320">
        <v>0.02</v>
      </c>
      <c r="AG320">
        <v>1</v>
      </c>
      <c r="AH320">
        <v>13.23</v>
      </c>
      <c r="AI320">
        <v>13.23</v>
      </c>
      <c r="AJ320">
        <v>13.23</v>
      </c>
      <c r="AK320">
        <v>0.15</v>
      </c>
      <c r="AL320">
        <v>0.15</v>
      </c>
      <c r="AM320">
        <v>0.15</v>
      </c>
      <c r="AN320">
        <v>0</v>
      </c>
      <c r="AO320">
        <v>0</v>
      </c>
      <c r="AP320">
        <v>0</v>
      </c>
      <c r="AQ320">
        <v>39.830701380000001</v>
      </c>
      <c r="AR320">
        <v>0</v>
      </c>
      <c r="AS320">
        <f>_xlfn.XLOOKUP(B320,InstallDate!$H$2:$H$389,InstallDate!$BE$2:$BE$389)</f>
        <v>0</v>
      </c>
      <c r="AT320">
        <f t="shared" si="30"/>
        <v>0</v>
      </c>
      <c r="AU320">
        <f t="shared" si="28"/>
        <v>0.10623946037099494</v>
      </c>
      <c r="AV320">
        <f t="shared" si="31"/>
        <v>0</v>
      </c>
      <c r="AW320">
        <f t="shared" si="32"/>
        <v>0</v>
      </c>
      <c r="AX320">
        <f t="shared" si="33"/>
        <v>2</v>
      </c>
      <c r="AY320">
        <f t="shared" si="34"/>
        <v>0</v>
      </c>
      <c r="AZ320">
        <f t="shared" si="29"/>
        <v>2</v>
      </c>
    </row>
    <row r="321" spans="1:52" x14ac:dyDescent="0.2">
      <c r="A321">
        <v>320</v>
      </c>
      <c r="B321" t="s">
        <v>369</v>
      </c>
      <c r="C321">
        <v>0</v>
      </c>
      <c r="H321" t="s">
        <v>369</v>
      </c>
      <c r="I321" t="s">
        <v>45</v>
      </c>
      <c r="Q321" t="s">
        <v>369</v>
      </c>
      <c r="R321">
        <v>309.81301050000002</v>
      </c>
      <c r="S321">
        <v>6</v>
      </c>
      <c r="T321">
        <v>130</v>
      </c>
      <c r="V321">
        <v>0</v>
      </c>
      <c r="W321">
        <v>0</v>
      </c>
      <c r="X321" t="s">
        <v>369</v>
      </c>
      <c r="Y321">
        <v>-1</v>
      </c>
      <c r="Z321">
        <v>6</v>
      </c>
      <c r="AA321">
        <v>309.81</v>
      </c>
      <c r="AB321">
        <v>130</v>
      </c>
      <c r="AC321">
        <v>13.23</v>
      </c>
      <c r="AD321">
        <v>0.15</v>
      </c>
      <c r="AE321">
        <v>0.01</v>
      </c>
      <c r="AF321">
        <v>0.02</v>
      </c>
      <c r="AG321">
        <v>1</v>
      </c>
      <c r="AH321">
        <v>13.23</v>
      </c>
      <c r="AI321">
        <v>13.23</v>
      </c>
      <c r="AJ321">
        <v>13.23</v>
      </c>
      <c r="AK321">
        <v>0.15</v>
      </c>
      <c r="AL321">
        <v>0.15</v>
      </c>
      <c r="AM321">
        <v>0.15</v>
      </c>
      <c r="AN321">
        <v>0.01</v>
      </c>
      <c r="AO321">
        <v>0.01</v>
      </c>
      <c r="AP321">
        <v>0.01</v>
      </c>
      <c r="AQ321">
        <v>309.81301050000002</v>
      </c>
      <c r="AR321">
        <v>0</v>
      </c>
      <c r="AS321">
        <f>_xlfn.XLOOKUP(B321,InstallDate!$H$2:$H$389,InstallDate!$BE$2:$BE$389)</f>
        <v>0</v>
      </c>
      <c r="AT321">
        <f t="shared" si="30"/>
        <v>0</v>
      </c>
      <c r="AU321">
        <f t="shared" si="28"/>
        <v>0.10623946037099494</v>
      </c>
      <c r="AV321">
        <f t="shared" si="31"/>
        <v>0</v>
      </c>
      <c r="AW321">
        <f t="shared" si="32"/>
        <v>0</v>
      </c>
      <c r="AX321">
        <f t="shared" si="33"/>
        <v>2</v>
      </c>
      <c r="AY321">
        <f t="shared" si="34"/>
        <v>0</v>
      </c>
      <c r="AZ321">
        <f t="shared" si="29"/>
        <v>2</v>
      </c>
    </row>
    <row r="322" spans="1:52" x14ac:dyDescent="0.2">
      <c r="A322">
        <v>321</v>
      </c>
      <c r="B322" t="s">
        <v>370</v>
      </c>
      <c r="C322">
        <v>0</v>
      </c>
      <c r="H322" t="s">
        <v>370</v>
      </c>
      <c r="I322" t="s">
        <v>45</v>
      </c>
      <c r="Q322" t="s">
        <v>370</v>
      </c>
      <c r="R322">
        <v>153.6994018</v>
      </c>
      <c r="S322">
        <v>6</v>
      </c>
      <c r="T322">
        <v>130</v>
      </c>
      <c r="V322">
        <v>0</v>
      </c>
      <c r="W322">
        <v>0</v>
      </c>
      <c r="X322" t="s">
        <v>370</v>
      </c>
      <c r="Y322">
        <v>-1</v>
      </c>
      <c r="Z322">
        <v>6</v>
      </c>
      <c r="AA322">
        <v>153.69999999999999</v>
      </c>
      <c r="AB322">
        <v>130</v>
      </c>
      <c r="AC322">
        <v>28.5</v>
      </c>
      <c r="AD322">
        <v>0.32</v>
      </c>
      <c r="AE322">
        <v>0.02</v>
      </c>
      <c r="AF322">
        <v>0.1</v>
      </c>
      <c r="AG322">
        <v>1</v>
      </c>
      <c r="AH322">
        <v>28.5</v>
      </c>
      <c r="AI322">
        <v>28.5</v>
      </c>
      <c r="AJ322">
        <v>28.5</v>
      </c>
      <c r="AK322">
        <v>0.32</v>
      </c>
      <c r="AL322">
        <v>0.32</v>
      </c>
      <c r="AM322">
        <v>0.32</v>
      </c>
      <c r="AN322">
        <v>0.02</v>
      </c>
      <c r="AO322">
        <v>0.02</v>
      </c>
      <c r="AP322">
        <v>0.02</v>
      </c>
      <c r="AQ322">
        <v>153.6994018</v>
      </c>
      <c r="AR322">
        <v>0</v>
      </c>
      <c r="AS322">
        <f>_xlfn.XLOOKUP(B322,InstallDate!$H$2:$H$389,InstallDate!$BE$2:$BE$389)</f>
        <v>0</v>
      </c>
      <c r="AT322">
        <f t="shared" si="30"/>
        <v>0</v>
      </c>
      <c r="AU322">
        <f t="shared" ref="AU322:AU389" si="35">AC322/MAX($AC$2:$AC$389)</f>
        <v>0.22886051553842449</v>
      </c>
      <c r="AV322">
        <f t="shared" si="31"/>
        <v>0</v>
      </c>
      <c r="AW322">
        <f t="shared" si="32"/>
        <v>3</v>
      </c>
      <c r="AX322">
        <f t="shared" si="33"/>
        <v>2</v>
      </c>
      <c r="AY322">
        <f t="shared" si="34"/>
        <v>0</v>
      </c>
      <c r="AZ322">
        <f t="shared" ref="AZ322:AZ385" si="36">IF(AND(MAX(AV322:AY322)&gt;2,AS322=1),3,IF(AND(MAX(AV322:AY322)&lt;=2,AS322=1),2,IF(AND(MAX(AV322:AY322)&gt;1,AS322=0),2,1)))</f>
        <v>2</v>
      </c>
    </row>
    <row r="323" spans="1:52" x14ac:dyDescent="0.2">
      <c r="A323">
        <v>322</v>
      </c>
      <c r="B323" t="s">
        <v>371</v>
      </c>
      <c r="C323">
        <v>0</v>
      </c>
      <c r="H323" t="s">
        <v>371</v>
      </c>
      <c r="I323" t="s">
        <v>45</v>
      </c>
      <c r="Q323" t="s">
        <v>371</v>
      </c>
      <c r="R323">
        <v>87.371396579999995</v>
      </c>
      <c r="S323">
        <v>6</v>
      </c>
      <c r="T323">
        <v>130</v>
      </c>
      <c r="V323">
        <v>0</v>
      </c>
      <c r="W323">
        <v>0</v>
      </c>
      <c r="X323" t="s">
        <v>371</v>
      </c>
      <c r="Y323">
        <v>1</v>
      </c>
      <c r="Z323">
        <v>6</v>
      </c>
      <c r="AA323">
        <v>87.37</v>
      </c>
      <c r="AB323">
        <v>130</v>
      </c>
      <c r="AC323">
        <v>4.4800000000000004</v>
      </c>
      <c r="AD323">
        <v>0.05</v>
      </c>
      <c r="AE323">
        <v>0</v>
      </c>
      <c r="AF323">
        <v>0</v>
      </c>
      <c r="AG323">
        <v>1</v>
      </c>
      <c r="AH323">
        <v>4.4800000000000004</v>
      </c>
      <c r="AI323">
        <v>4.4800000000000004</v>
      </c>
      <c r="AJ323">
        <v>4.4800000000000004</v>
      </c>
      <c r="AK323">
        <v>0.05</v>
      </c>
      <c r="AL323">
        <v>0.05</v>
      </c>
      <c r="AM323">
        <v>0.05</v>
      </c>
      <c r="AN323">
        <v>0</v>
      </c>
      <c r="AO323">
        <v>0</v>
      </c>
      <c r="AP323">
        <v>0</v>
      </c>
      <c r="AQ323">
        <v>87.371396579999995</v>
      </c>
      <c r="AR323">
        <v>0</v>
      </c>
      <c r="AS323">
        <f>_xlfn.XLOOKUP(B323,InstallDate!$H$2:$H$389,InstallDate!$BE$2:$BE$389)</f>
        <v>0</v>
      </c>
      <c r="AT323">
        <f t="shared" ref="AT323:AT386" si="37">IF(COUNTIF(AR323:AS323,1)=0,0,SUM(AR323:AS323)/COUNTIF(AR323:AS323,1))</f>
        <v>0</v>
      </c>
      <c r="AU323">
        <f t="shared" si="35"/>
        <v>3.5975267003934795E-2</v>
      </c>
      <c r="AV323">
        <f t="shared" ref="AV323:AV386" si="38">IF($AU323&gt;=_xlfn.PERCENTILE.INC($AU$2:$AU$369,AV$1),4,0)</f>
        <v>0</v>
      </c>
      <c r="AW323">
        <f t="shared" ref="AW323:AW386" si="39">IF($AU323&gt;=_xlfn.PERCENTILE.INC($AU$2:$AU$369,AW$1),3,0)</f>
        <v>0</v>
      </c>
      <c r="AX323">
        <f t="shared" ref="AX323:AX386" si="40">IF($AU323&gt;=_xlfn.PERCENTILE.INC($AU$2:$AU$369,AX$1),2,0)</f>
        <v>2</v>
      </c>
      <c r="AY323">
        <f t="shared" ref="AY323:AY386" si="41">IF(SUM(AV323:AX323)&lt;1,1,0)</f>
        <v>0</v>
      </c>
      <c r="AZ323">
        <f t="shared" si="36"/>
        <v>2</v>
      </c>
    </row>
    <row r="324" spans="1:52" x14ac:dyDescent="0.2">
      <c r="A324">
        <v>323</v>
      </c>
      <c r="B324" t="s">
        <v>372</v>
      </c>
      <c r="C324">
        <v>0</v>
      </c>
      <c r="H324" t="s">
        <v>372</v>
      </c>
      <c r="I324" t="s">
        <v>45</v>
      </c>
      <c r="Q324" t="s">
        <v>372</v>
      </c>
      <c r="R324">
        <v>707.80975679999995</v>
      </c>
      <c r="S324">
        <v>6</v>
      </c>
      <c r="T324">
        <v>130</v>
      </c>
      <c r="V324">
        <v>0</v>
      </c>
      <c r="W324">
        <v>0</v>
      </c>
      <c r="X324" t="s">
        <v>372</v>
      </c>
      <c r="Y324">
        <v>1</v>
      </c>
      <c r="Z324">
        <v>6</v>
      </c>
      <c r="AA324">
        <v>707.81</v>
      </c>
      <c r="AB324">
        <v>130</v>
      </c>
      <c r="AC324">
        <v>4.4800000000000004</v>
      </c>
      <c r="AD324">
        <v>0.05</v>
      </c>
      <c r="AE324">
        <v>0</v>
      </c>
      <c r="AF324">
        <v>0</v>
      </c>
      <c r="AG324">
        <v>1</v>
      </c>
      <c r="AH324">
        <v>4.4800000000000004</v>
      </c>
      <c r="AI324">
        <v>4.4800000000000004</v>
      </c>
      <c r="AJ324">
        <v>4.4800000000000004</v>
      </c>
      <c r="AK324">
        <v>0.05</v>
      </c>
      <c r="AL324">
        <v>0.05</v>
      </c>
      <c r="AM324">
        <v>0.05</v>
      </c>
      <c r="AN324">
        <v>0</v>
      </c>
      <c r="AO324">
        <v>0</v>
      </c>
      <c r="AP324">
        <v>0</v>
      </c>
      <c r="AQ324">
        <v>707.80975679999995</v>
      </c>
      <c r="AR324">
        <v>0</v>
      </c>
      <c r="AS324">
        <f>_xlfn.XLOOKUP(B324,InstallDate!$H$2:$H$389,InstallDate!$BE$2:$BE$389)</f>
        <v>0</v>
      </c>
      <c r="AT324">
        <f t="shared" si="37"/>
        <v>0</v>
      </c>
      <c r="AU324">
        <f t="shared" si="35"/>
        <v>3.5975267003934795E-2</v>
      </c>
      <c r="AV324">
        <f t="shared" si="38"/>
        <v>0</v>
      </c>
      <c r="AW324">
        <f t="shared" si="39"/>
        <v>0</v>
      </c>
      <c r="AX324">
        <f t="shared" si="40"/>
        <v>2</v>
      </c>
      <c r="AY324">
        <f t="shared" si="41"/>
        <v>0</v>
      </c>
      <c r="AZ324">
        <f t="shared" si="36"/>
        <v>2</v>
      </c>
    </row>
    <row r="325" spans="1:52" x14ac:dyDescent="0.2">
      <c r="A325">
        <v>324</v>
      </c>
      <c r="B325" t="s">
        <v>373</v>
      </c>
      <c r="C325">
        <v>0</v>
      </c>
      <c r="H325" t="s">
        <v>373</v>
      </c>
      <c r="I325" t="s">
        <v>45</v>
      </c>
      <c r="Q325" t="s">
        <v>373</v>
      </c>
      <c r="R325">
        <v>178.99615660000001</v>
      </c>
      <c r="S325">
        <v>6</v>
      </c>
      <c r="T325">
        <v>130</v>
      </c>
      <c r="V325">
        <v>0</v>
      </c>
      <c r="W325">
        <v>0</v>
      </c>
      <c r="X325" t="s">
        <v>373</v>
      </c>
      <c r="Y325">
        <v>1</v>
      </c>
      <c r="Z325">
        <v>6</v>
      </c>
      <c r="AA325">
        <v>179</v>
      </c>
      <c r="AB325">
        <v>130</v>
      </c>
      <c r="AC325">
        <v>3.37</v>
      </c>
      <c r="AD325">
        <v>0.04</v>
      </c>
      <c r="AE325">
        <v>0</v>
      </c>
      <c r="AF325">
        <v>0</v>
      </c>
      <c r="AG325">
        <v>1</v>
      </c>
      <c r="AH325">
        <v>3.37</v>
      </c>
      <c r="AI325">
        <v>3.37</v>
      </c>
      <c r="AJ325">
        <v>3.37</v>
      </c>
      <c r="AK325">
        <v>0.04</v>
      </c>
      <c r="AL325">
        <v>0.04</v>
      </c>
      <c r="AM325">
        <v>0.04</v>
      </c>
      <c r="AN325">
        <v>0</v>
      </c>
      <c r="AO325">
        <v>0</v>
      </c>
      <c r="AP325">
        <v>0</v>
      </c>
      <c r="AQ325">
        <v>178.99615660000001</v>
      </c>
      <c r="AR325">
        <v>0</v>
      </c>
      <c r="AS325">
        <f>_xlfn.XLOOKUP(B325,InstallDate!$H$2:$H$389,InstallDate!$BE$2:$BE$389)</f>
        <v>0</v>
      </c>
      <c r="AT325">
        <f t="shared" si="37"/>
        <v>0</v>
      </c>
      <c r="AU325">
        <f t="shared" si="35"/>
        <v>2.7061752188227737E-2</v>
      </c>
      <c r="AV325">
        <f t="shared" si="38"/>
        <v>0</v>
      </c>
      <c r="AW325">
        <f t="shared" si="39"/>
        <v>0</v>
      </c>
      <c r="AX325">
        <f t="shared" si="40"/>
        <v>0</v>
      </c>
      <c r="AY325">
        <f t="shared" si="41"/>
        <v>1</v>
      </c>
      <c r="AZ325">
        <f t="shared" si="36"/>
        <v>1</v>
      </c>
    </row>
    <row r="326" spans="1:52" x14ac:dyDescent="0.2">
      <c r="A326">
        <v>325</v>
      </c>
      <c r="B326" t="s">
        <v>374</v>
      </c>
      <c r="C326">
        <v>0</v>
      </c>
      <c r="H326" t="s">
        <v>374</v>
      </c>
      <c r="I326" t="s">
        <v>45</v>
      </c>
      <c r="Q326" t="s">
        <v>374</v>
      </c>
      <c r="R326">
        <v>39.82207674</v>
      </c>
      <c r="S326">
        <v>6</v>
      </c>
      <c r="T326">
        <v>130</v>
      </c>
      <c r="V326">
        <v>0</v>
      </c>
      <c r="W326">
        <v>0</v>
      </c>
      <c r="X326" t="s">
        <v>374</v>
      </c>
      <c r="Y326">
        <v>1</v>
      </c>
      <c r="Z326">
        <v>6</v>
      </c>
      <c r="AA326">
        <v>39.82</v>
      </c>
      <c r="AB326">
        <v>130</v>
      </c>
      <c r="AC326">
        <v>0.56000000000000005</v>
      </c>
      <c r="AD326">
        <v>0.01</v>
      </c>
      <c r="AE326">
        <v>0</v>
      </c>
      <c r="AF326">
        <v>0</v>
      </c>
      <c r="AG326">
        <v>1</v>
      </c>
      <c r="AH326">
        <v>0.56000000000000005</v>
      </c>
      <c r="AI326">
        <v>0.56000000000000005</v>
      </c>
      <c r="AJ326">
        <v>0.56000000000000005</v>
      </c>
      <c r="AK326">
        <v>0.01</v>
      </c>
      <c r="AL326">
        <v>0.01</v>
      </c>
      <c r="AM326">
        <v>0.01</v>
      </c>
      <c r="AN326">
        <v>0</v>
      </c>
      <c r="AO326">
        <v>0</v>
      </c>
      <c r="AP326">
        <v>0</v>
      </c>
      <c r="AQ326">
        <v>39.82207674</v>
      </c>
      <c r="AR326">
        <v>0</v>
      </c>
      <c r="AS326">
        <f>_xlfn.XLOOKUP(B326,InstallDate!$H$2:$H$389,InstallDate!$BE$2:$BE$389)</f>
        <v>0</v>
      </c>
      <c r="AT326">
        <f t="shared" si="37"/>
        <v>0</v>
      </c>
      <c r="AU326">
        <f t="shared" si="35"/>
        <v>4.4969083754918494E-3</v>
      </c>
      <c r="AV326">
        <f t="shared" si="38"/>
        <v>0</v>
      </c>
      <c r="AW326">
        <f t="shared" si="39"/>
        <v>0</v>
      </c>
      <c r="AX326">
        <f t="shared" si="40"/>
        <v>0</v>
      </c>
      <c r="AY326">
        <f t="shared" si="41"/>
        <v>1</v>
      </c>
      <c r="AZ326">
        <f t="shared" si="36"/>
        <v>1</v>
      </c>
    </row>
    <row r="327" spans="1:52" x14ac:dyDescent="0.2">
      <c r="A327">
        <v>326</v>
      </c>
      <c r="B327" t="s">
        <v>375</v>
      </c>
      <c r="C327">
        <v>0</v>
      </c>
      <c r="H327" t="s">
        <v>375</v>
      </c>
      <c r="I327" t="s">
        <v>45</v>
      </c>
      <c r="Q327" t="s">
        <v>375</v>
      </c>
      <c r="R327">
        <v>325.17320849999999</v>
      </c>
      <c r="S327">
        <v>6</v>
      </c>
      <c r="T327">
        <v>130</v>
      </c>
      <c r="V327">
        <v>0</v>
      </c>
      <c r="W327">
        <v>0</v>
      </c>
      <c r="X327" t="s">
        <v>375</v>
      </c>
      <c r="Y327">
        <v>1</v>
      </c>
      <c r="Z327">
        <v>6</v>
      </c>
      <c r="AA327">
        <v>325.17</v>
      </c>
      <c r="AB327">
        <v>130</v>
      </c>
      <c r="AC327">
        <v>0.56000000000000005</v>
      </c>
      <c r="AD327">
        <v>0.01</v>
      </c>
      <c r="AE327">
        <v>0</v>
      </c>
      <c r="AF327">
        <v>0</v>
      </c>
      <c r="AG327">
        <v>1</v>
      </c>
      <c r="AH327">
        <v>0.56000000000000005</v>
      </c>
      <c r="AI327">
        <v>0.56000000000000005</v>
      </c>
      <c r="AJ327">
        <v>0.56000000000000005</v>
      </c>
      <c r="AK327">
        <v>0.01</v>
      </c>
      <c r="AL327">
        <v>0.01</v>
      </c>
      <c r="AM327">
        <v>0.01</v>
      </c>
      <c r="AN327">
        <v>0</v>
      </c>
      <c r="AO327">
        <v>0</v>
      </c>
      <c r="AP327">
        <v>0</v>
      </c>
      <c r="AQ327">
        <v>325.17320849999999</v>
      </c>
      <c r="AR327">
        <v>0</v>
      </c>
      <c r="AS327">
        <f>_xlfn.XLOOKUP(B327,InstallDate!$H$2:$H$389,InstallDate!$BE$2:$BE$389)</f>
        <v>0</v>
      </c>
      <c r="AT327">
        <f t="shared" si="37"/>
        <v>0</v>
      </c>
      <c r="AU327">
        <f t="shared" si="35"/>
        <v>4.4969083754918494E-3</v>
      </c>
      <c r="AV327">
        <f t="shared" si="38"/>
        <v>0</v>
      </c>
      <c r="AW327">
        <f t="shared" si="39"/>
        <v>0</v>
      </c>
      <c r="AX327">
        <f t="shared" si="40"/>
        <v>0</v>
      </c>
      <c r="AY327">
        <f t="shared" si="41"/>
        <v>1</v>
      </c>
      <c r="AZ327">
        <f t="shared" si="36"/>
        <v>1</v>
      </c>
    </row>
    <row r="328" spans="1:52" x14ac:dyDescent="0.2">
      <c r="A328">
        <v>327</v>
      </c>
      <c r="B328" t="s">
        <v>376</v>
      </c>
      <c r="C328">
        <v>0</v>
      </c>
      <c r="H328" t="s">
        <v>376</v>
      </c>
      <c r="I328" t="s">
        <v>45</v>
      </c>
      <c r="Q328" t="s">
        <v>376</v>
      </c>
      <c r="R328">
        <v>295.69249259999998</v>
      </c>
      <c r="S328">
        <v>6</v>
      </c>
      <c r="T328">
        <v>130</v>
      </c>
      <c r="V328">
        <v>0</v>
      </c>
      <c r="W328">
        <v>0</v>
      </c>
      <c r="X328" t="s">
        <v>376</v>
      </c>
      <c r="Y328">
        <v>-1</v>
      </c>
      <c r="Z328">
        <v>6</v>
      </c>
      <c r="AA328">
        <v>295.69</v>
      </c>
      <c r="AB328">
        <v>130</v>
      </c>
      <c r="AC328">
        <v>32.840000000000003</v>
      </c>
      <c r="AD328">
        <v>0.37</v>
      </c>
      <c r="AE328">
        <v>0.04</v>
      </c>
      <c r="AF328">
        <v>0.13</v>
      </c>
      <c r="AG328">
        <v>1</v>
      </c>
      <c r="AH328">
        <v>32.840000000000003</v>
      </c>
      <c r="AI328">
        <v>32.840000000000003</v>
      </c>
      <c r="AJ328">
        <v>32.840000000000003</v>
      </c>
      <c r="AK328">
        <v>0.37</v>
      </c>
      <c r="AL328">
        <v>0.37</v>
      </c>
      <c r="AM328">
        <v>0.37</v>
      </c>
      <c r="AN328">
        <v>0.04</v>
      </c>
      <c r="AO328">
        <v>0.04</v>
      </c>
      <c r="AP328">
        <v>0.04</v>
      </c>
      <c r="AQ328">
        <v>295.69249259999998</v>
      </c>
      <c r="AR328">
        <v>1</v>
      </c>
      <c r="AS328">
        <f>_xlfn.XLOOKUP(B328,InstallDate!$H$2:$H$389,InstallDate!$BE$2:$BE$389)</f>
        <v>0</v>
      </c>
      <c r="AT328">
        <f t="shared" si="37"/>
        <v>1</v>
      </c>
      <c r="AU328">
        <f t="shared" si="35"/>
        <v>0.26371155544848635</v>
      </c>
      <c r="AV328">
        <f t="shared" si="38"/>
        <v>0</v>
      </c>
      <c r="AW328">
        <f t="shared" si="39"/>
        <v>3</v>
      </c>
      <c r="AX328">
        <f t="shared" si="40"/>
        <v>2</v>
      </c>
      <c r="AY328">
        <f t="shared" si="41"/>
        <v>0</v>
      </c>
      <c r="AZ328">
        <f t="shared" si="36"/>
        <v>2</v>
      </c>
    </row>
    <row r="329" spans="1:52" x14ac:dyDescent="0.2">
      <c r="A329">
        <v>328</v>
      </c>
      <c r="B329" t="s">
        <v>377</v>
      </c>
      <c r="C329">
        <v>0</v>
      </c>
      <c r="H329" t="s">
        <v>377</v>
      </c>
      <c r="I329" t="s">
        <v>45</v>
      </c>
      <c r="Q329" t="s">
        <v>377</v>
      </c>
      <c r="R329">
        <v>76.758291170000007</v>
      </c>
      <c r="S329">
        <v>6</v>
      </c>
      <c r="T329">
        <v>130</v>
      </c>
      <c r="V329">
        <v>0</v>
      </c>
      <c r="W329">
        <v>0</v>
      </c>
      <c r="X329" t="s">
        <v>377</v>
      </c>
      <c r="Y329">
        <v>-1</v>
      </c>
      <c r="Z329">
        <v>6</v>
      </c>
      <c r="AA329">
        <v>76.760000000000005</v>
      </c>
      <c r="AB329">
        <v>130</v>
      </c>
      <c r="AC329">
        <v>32.840000000000003</v>
      </c>
      <c r="AD329">
        <v>0.37</v>
      </c>
      <c r="AE329">
        <v>0.01</v>
      </c>
      <c r="AF329">
        <v>0.13</v>
      </c>
      <c r="AG329">
        <v>1</v>
      </c>
      <c r="AH329">
        <v>32.840000000000003</v>
      </c>
      <c r="AI329">
        <v>32.840000000000003</v>
      </c>
      <c r="AJ329">
        <v>32.840000000000003</v>
      </c>
      <c r="AK329">
        <v>0.37</v>
      </c>
      <c r="AL329">
        <v>0.37</v>
      </c>
      <c r="AM329">
        <v>0.37</v>
      </c>
      <c r="AN329">
        <v>0.01</v>
      </c>
      <c r="AO329">
        <v>0.01</v>
      </c>
      <c r="AP329">
        <v>0.01</v>
      </c>
      <c r="AQ329">
        <v>76.758291170000007</v>
      </c>
      <c r="AR329">
        <v>1</v>
      </c>
      <c r="AS329">
        <f>_xlfn.XLOOKUP(B329,InstallDate!$H$2:$H$389,InstallDate!$BE$2:$BE$389)</f>
        <v>0</v>
      </c>
      <c r="AT329">
        <f t="shared" si="37"/>
        <v>1</v>
      </c>
      <c r="AU329">
        <f t="shared" si="35"/>
        <v>0.26371155544848635</v>
      </c>
      <c r="AV329">
        <f t="shared" si="38"/>
        <v>0</v>
      </c>
      <c r="AW329">
        <f t="shared" si="39"/>
        <v>3</v>
      </c>
      <c r="AX329">
        <f t="shared" si="40"/>
        <v>2</v>
      </c>
      <c r="AY329">
        <f t="shared" si="41"/>
        <v>0</v>
      </c>
      <c r="AZ329">
        <f t="shared" si="36"/>
        <v>2</v>
      </c>
    </row>
    <row r="330" spans="1:52" x14ac:dyDescent="0.2">
      <c r="A330">
        <v>329</v>
      </c>
      <c r="B330" t="s">
        <v>378</v>
      </c>
      <c r="C330">
        <v>0</v>
      </c>
      <c r="H330" t="s">
        <v>378</v>
      </c>
      <c r="I330" t="s">
        <v>45</v>
      </c>
      <c r="Q330" t="s">
        <v>378</v>
      </c>
      <c r="R330">
        <v>675.1336867</v>
      </c>
      <c r="S330">
        <v>6</v>
      </c>
      <c r="T330">
        <v>130</v>
      </c>
      <c r="V330">
        <v>0</v>
      </c>
      <c r="W330">
        <v>0</v>
      </c>
      <c r="X330" t="s">
        <v>378</v>
      </c>
      <c r="Y330">
        <v>-1</v>
      </c>
      <c r="Z330">
        <v>6</v>
      </c>
      <c r="AA330">
        <v>675.13</v>
      </c>
      <c r="AB330">
        <v>130</v>
      </c>
      <c r="AC330">
        <v>32.979999999999997</v>
      </c>
      <c r="AD330">
        <v>0.37</v>
      </c>
      <c r="AE330">
        <v>0.09</v>
      </c>
      <c r="AF330">
        <v>0.13</v>
      </c>
      <c r="AG330">
        <v>1</v>
      </c>
      <c r="AH330">
        <v>32.979999999999997</v>
      </c>
      <c r="AI330">
        <v>32.979999999999997</v>
      </c>
      <c r="AJ330">
        <v>32.979999999999997</v>
      </c>
      <c r="AK330">
        <v>0.37</v>
      </c>
      <c r="AL330">
        <v>0.37</v>
      </c>
      <c r="AM330">
        <v>0.37</v>
      </c>
      <c r="AN330">
        <v>0.09</v>
      </c>
      <c r="AO330">
        <v>0.09</v>
      </c>
      <c r="AP330">
        <v>0.09</v>
      </c>
      <c r="AQ330">
        <v>675.1336867</v>
      </c>
      <c r="AR330">
        <v>1</v>
      </c>
      <c r="AS330">
        <f>_xlfn.XLOOKUP(B330,InstallDate!$H$2:$H$389,InstallDate!$BE$2:$BE$389)</f>
        <v>1</v>
      </c>
      <c r="AT330">
        <f t="shared" si="37"/>
        <v>1</v>
      </c>
      <c r="AU330">
        <f t="shared" si="35"/>
        <v>0.26483578254235923</v>
      </c>
      <c r="AV330">
        <f t="shared" si="38"/>
        <v>0</v>
      </c>
      <c r="AW330">
        <f t="shared" si="39"/>
        <v>3</v>
      </c>
      <c r="AX330">
        <f t="shared" si="40"/>
        <v>2</v>
      </c>
      <c r="AY330">
        <f t="shared" si="41"/>
        <v>0</v>
      </c>
      <c r="AZ330">
        <f t="shared" si="36"/>
        <v>3</v>
      </c>
    </row>
    <row r="331" spans="1:52" x14ac:dyDescent="0.2">
      <c r="A331">
        <v>330</v>
      </c>
      <c r="B331" t="s">
        <v>379</v>
      </c>
      <c r="C331">
        <v>0</v>
      </c>
      <c r="H331" t="s">
        <v>379</v>
      </c>
      <c r="I331" t="s">
        <v>45</v>
      </c>
      <c r="Q331" t="s">
        <v>379</v>
      </c>
      <c r="R331">
        <v>679.97501499999998</v>
      </c>
      <c r="S331">
        <v>6</v>
      </c>
      <c r="T331">
        <v>130</v>
      </c>
      <c r="V331">
        <v>0</v>
      </c>
      <c r="W331">
        <v>0</v>
      </c>
      <c r="X331" t="s">
        <v>379</v>
      </c>
      <c r="Y331">
        <v>-1</v>
      </c>
      <c r="Z331">
        <v>6</v>
      </c>
      <c r="AA331">
        <v>679.98</v>
      </c>
      <c r="AB331">
        <v>130</v>
      </c>
      <c r="AC331">
        <v>32.979999999999997</v>
      </c>
      <c r="AD331">
        <v>0.37</v>
      </c>
      <c r="AE331">
        <v>0.09</v>
      </c>
      <c r="AF331">
        <v>0.13</v>
      </c>
      <c r="AG331">
        <v>1</v>
      </c>
      <c r="AH331">
        <v>32.979999999999997</v>
      </c>
      <c r="AI331">
        <v>32.979999999999997</v>
      </c>
      <c r="AJ331">
        <v>32.979999999999997</v>
      </c>
      <c r="AK331">
        <v>0.37</v>
      </c>
      <c r="AL331">
        <v>0.37</v>
      </c>
      <c r="AM331">
        <v>0.37</v>
      </c>
      <c r="AN331">
        <v>0.09</v>
      </c>
      <c r="AO331">
        <v>0.09</v>
      </c>
      <c r="AP331">
        <v>0.09</v>
      </c>
      <c r="AQ331">
        <v>679.97501499999998</v>
      </c>
      <c r="AR331">
        <v>1</v>
      </c>
      <c r="AS331">
        <f>_xlfn.XLOOKUP(B331,InstallDate!$H$2:$H$389,InstallDate!$BE$2:$BE$389)</f>
        <v>0</v>
      </c>
      <c r="AT331">
        <f t="shared" si="37"/>
        <v>1</v>
      </c>
      <c r="AU331">
        <f t="shared" si="35"/>
        <v>0.26483578254235923</v>
      </c>
      <c r="AV331">
        <f t="shared" si="38"/>
        <v>0</v>
      </c>
      <c r="AW331">
        <f t="shared" si="39"/>
        <v>3</v>
      </c>
      <c r="AX331">
        <f t="shared" si="40"/>
        <v>2</v>
      </c>
      <c r="AY331">
        <f t="shared" si="41"/>
        <v>0</v>
      </c>
      <c r="AZ331">
        <f t="shared" si="36"/>
        <v>2</v>
      </c>
    </row>
    <row r="332" spans="1:52" x14ac:dyDescent="0.2">
      <c r="A332">
        <v>331</v>
      </c>
      <c r="B332" t="s">
        <v>380</v>
      </c>
      <c r="C332">
        <v>0</v>
      </c>
      <c r="H332" t="s">
        <v>380</v>
      </c>
      <c r="I332" t="s">
        <v>45</v>
      </c>
      <c r="Q332" t="s">
        <v>380</v>
      </c>
      <c r="R332">
        <v>516.13227429999995</v>
      </c>
      <c r="S332">
        <v>6</v>
      </c>
      <c r="T332">
        <v>130</v>
      </c>
      <c r="V332">
        <v>0</v>
      </c>
      <c r="W332">
        <v>0</v>
      </c>
      <c r="X332" t="s">
        <v>380</v>
      </c>
      <c r="Y332">
        <v>-1</v>
      </c>
      <c r="Z332">
        <v>6</v>
      </c>
      <c r="AA332">
        <v>516.13</v>
      </c>
      <c r="AB332">
        <v>130</v>
      </c>
      <c r="AC332">
        <v>32.979999999999997</v>
      </c>
      <c r="AD332">
        <v>0.37</v>
      </c>
      <c r="AE332">
        <v>7.0000000000000007E-2</v>
      </c>
      <c r="AF332">
        <v>0.13</v>
      </c>
      <c r="AG332">
        <v>1</v>
      </c>
      <c r="AH332">
        <v>32.979999999999997</v>
      </c>
      <c r="AI332">
        <v>32.979999999999997</v>
      </c>
      <c r="AJ332">
        <v>32.979999999999997</v>
      </c>
      <c r="AK332">
        <v>0.37</v>
      </c>
      <c r="AL332">
        <v>0.37</v>
      </c>
      <c r="AM332">
        <v>0.37</v>
      </c>
      <c r="AN332">
        <v>7.0000000000000007E-2</v>
      </c>
      <c r="AO332">
        <v>7.0000000000000007E-2</v>
      </c>
      <c r="AP332">
        <v>7.0000000000000007E-2</v>
      </c>
      <c r="AQ332">
        <v>516.13227429999995</v>
      </c>
      <c r="AR332">
        <v>1</v>
      </c>
      <c r="AS332">
        <f>_xlfn.XLOOKUP(B332,InstallDate!$H$2:$H$389,InstallDate!$BE$2:$BE$389)</f>
        <v>0</v>
      </c>
      <c r="AT332">
        <f t="shared" si="37"/>
        <v>1</v>
      </c>
      <c r="AU332">
        <f t="shared" si="35"/>
        <v>0.26483578254235923</v>
      </c>
      <c r="AV332">
        <f t="shared" si="38"/>
        <v>0</v>
      </c>
      <c r="AW332">
        <f t="shared" si="39"/>
        <v>3</v>
      </c>
      <c r="AX332">
        <f t="shared" si="40"/>
        <v>2</v>
      </c>
      <c r="AY332">
        <f t="shared" si="41"/>
        <v>0</v>
      </c>
      <c r="AZ332">
        <f t="shared" si="36"/>
        <v>2</v>
      </c>
    </row>
    <row r="333" spans="1:52" x14ac:dyDescent="0.2">
      <c r="A333">
        <v>332</v>
      </c>
      <c r="B333" t="s">
        <v>381</v>
      </c>
      <c r="C333">
        <v>0</v>
      </c>
      <c r="H333" t="s">
        <v>381</v>
      </c>
      <c r="I333" t="s">
        <v>45</v>
      </c>
      <c r="Q333" t="s">
        <v>381</v>
      </c>
      <c r="R333">
        <v>585.86577869999996</v>
      </c>
      <c r="S333">
        <v>6</v>
      </c>
      <c r="T333">
        <v>130</v>
      </c>
      <c r="V333">
        <v>0</v>
      </c>
      <c r="W333">
        <v>0</v>
      </c>
      <c r="X333" t="s">
        <v>381</v>
      </c>
      <c r="Y333">
        <v>-1</v>
      </c>
      <c r="Z333">
        <v>6</v>
      </c>
      <c r="AA333">
        <v>585.87</v>
      </c>
      <c r="AB333">
        <v>130</v>
      </c>
      <c r="AC333">
        <v>32.979999999999997</v>
      </c>
      <c r="AD333">
        <v>0.37</v>
      </c>
      <c r="AE333">
        <v>0.08</v>
      </c>
      <c r="AF333">
        <v>0.13</v>
      </c>
      <c r="AG333">
        <v>1</v>
      </c>
      <c r="AH333">
        <v>32.979999999999997</v>
      </c>
      <c r="AI333">
        <v>32.979999999999997</v>
      </c>
      <c r="AJ333">
        <v>32.979999999999997</v>
      </c>
      <c r="AK333">
        <v>0.37</v>
      </c>
      <c r="AL333">
        <v>0.37</v>
      </c>
      <c r="AM333">
        <v>0.37</v>
      </c>
      <c r="AN333">
        <v>0.08</v>
      </c>
      <c r="AO333">
        <v>0.08</v>
      </c>
      <c r="AP333">
        <v>0.08</v>
      </c>
      <c r="AQ333">
        <v>585.86577869999996</v>
      </c>
      <c r="AR333">
        <v>1</v>
      </c>
      <c r="AS333">
        <f>_xlfn.XLOOKUP(B333,InstallDate!$H$2:$H$389,InstallDate!$BE$2:$BE$389)</f>
        <v>0</v>
      </c>
      <c r="AT333">
        <f t="shared" si="37"/>
        <v>1</v>
      </c>
      <c r="AU333">
        <f t="shared" si="35"/>
        <v>0.26483578254235923</v>
      </c>
      <c r="AV333">
        <f t="shared" si="38"/>
        <v>0</v>
      </c>
      <c r="AW333">
        <f t="shared" si="39"/>
        <v>3</v>
      </c>
      <c r="AX333">
        <f t="shared" si="40"/>
        <v>2</v>
      </c>
      <c r="AY333">
        <f t="shared" si="41"/>
        <v>0</v>
      </c>
      <c r="AZ333">
        <f t="shared" si="36"/>
        <v>2</v>
      </c>
    </row>
    <row r="334" spans="1:52" x14ac:dyDescent="0.2">
      <c r="A334">
        <v>333</v>
      </c>
      <c r="B334" t="s">
        <v>382</v>
      </c>
      <c r="C334">
        <v>0</v>
      </c>
      <c r="H334" t="s">
        <v>382</v>
      </c>
      <c r="I334" t="s">
        <v>45</v>
      </c>
      <c r="Q334" t="s">
        <v>382</v>
      </c>
      <c r="R334">
        <v>122.2416235</v>
      </c>
      <c r="S334">
        <v>6</v>
      </c>
      <c r="T334">
        <v>130</v>
      </c>
      <c r="V334">
        <v>0</v>
      </c>
      <c r="W334">
        <v>0</v>
      </c>
      <c r="X334" t="s">
        <v>382</v>
      </c>
      <c r="Y334">
        <v>-1</v>
      </c>
      <c r="Z334">
        <v>6</v>
      </c>
      <c r="AA334">
        <v>122.24</v>
      </c>
      <c r="AB334">
        <v>130</v>
      </c>
      <c r="AC334">
        <v>21.2</v>
      </c>
      <c r="AD334">
        <v>0.24</v>
      </c>
      <c r="AE334">
        <v>0.01</v>
      </c>
      <c r="AF334">
        <v>0.06</v>
      </c>
      <c r="AG334">
        <v>1</v>
      </c>
      <c r="AH334">
        <v>21.2</v>
      </c>
      <c r="AI334">
        <v>21.2</v>
      </c>
      <c r="AJ334">
        <v>21.2</v>
      </c>
      <c r="AK334">
        <v>0.24</v>
      </c>
      <c r="AL334">
        <v>0.24</v>
      </c>
      <c r="AM334">
        <v>0.24</v>
      </c>
      <c r="AN334">
        <v>0.01</v>
      </c>
      <c r="AO334">
        <v>0.01</v>
      </c>
      <c r="AP334">
        <v>0.01</v>
      </c>
      <c r="AQ334">
        <v>122.2416235</v>
      </c>
      <c r="AR334">
        <v>1</v>
      </c>
      <c r="AS334">
        <f>_xlfn.XLOOKUP(B334,InstallDate!$H$2:$H$389,InstallDate!$BE$2:$BE$389)</f>
        <v>0</v>
      </c>
      <c r="AT334">
        <f t="shared" si="37"/>
        <v>1</v>
      </c>
      <c r="AU334">
        <f t="shared" si="35"/>
        <v>0.17024010278647714</v>
      </c>
      <c r="AV334">
        <f t="shared" si="38"/>
        <v>0</v>
      </c>
      <c r="AW334">
        <f t="shared" si="39"/>
        <v>0</v>
      </c>
      <c r="AX334">
        <f t="shared" si="40"/>
        <v>2</v>
      </c>
      <c r="AY334">
        <f t="shared" si="41"/>
        <v>0</v>
      </c>
      <c r="AZ334">
        <f t="shared" si="36"/>
        <v>2</v>
      </c>
    </row>
    <row r="335" spans="1:52" x14ac:dyDescent="0.2">
      <c r="A335">
        <v>334</v>
      </c>
      <c r="B335" t="s">
        <v>383</v>
      </c>
      <c r="C335">
        <v>0</v>
      </c>
      <c r="H335" t="s">
        <v>383</v>
      </c>
      <c r="I335" t="s">
        <v>45</v>
      </c>
      <c r="Q335" t="s">
        <v>383</v>
      </c>
      <c r="R335">
        <v>282.1254682</v>
      </c>
      <c r="S335">
        <v>6</v>
      </c>
      <c r="T335">
        <v>130</v>
      </c>
      <c r="V335">
        <v>0</v>
      </c>
      <c r="W335">
        <v>0</v>
      </c>
      <c r="X335" t="s">
        <v>383</v>
      </c>
      <c r="Y335">
        <v>-1</v>
      </c>
      <c r="Z335">
        <v>6</v>
      </c>
      <c r="AA335">
        <v>282.13</v>
      </c>
      <c r="AB335">
        <v>130</v>
      </c>
      <c r="AC335">
        <v>21.2</v>
      </c>
      <c r="AD335">
        <v>0.24</v>
      </c>
      <c r="AE335">
        <v>0.02</v>
      </c>
      <c r="AF335">
        <v>0.06</v>
      </c>
      <c r="AG335">
        <v>1</v>
      </c>
      <c r="AH335">
        <v>21.2</v>
      </c>
      <c r="AI335">
        <v>21.2</v>
      </c>
      <c r="AJ335">
        <v>21.2</v>
      </c>
      <c r="AK335">
        <v>0.24</v>
      </c>
      <c r="AL335">
        <v>0.24</v>
      </c>
      <c r="AM335">
        <v>0.24</v>
      </c>
      <c r="AN335">
        <v>0.02</v>
      </c>
      <c r="AO335">
        <v>0.02</v>
      </c>
      <c r="AP335">
        <v>0.02</v>
      </c>
      <c r="AQ335">
        <v>282.1254682</v>
      </c>
      <c r="AR335">
        <v>1</v>
      </c>
      <c r="AS335">
        <f>_xlfn.XLOOKUP(B335,InstallDate!$H$2:$H$389,InstallDate!$BE$2:$BE$389)</f>
        <v>1</v>
      </c>
      <c r="AT335">
        <f t="shared" si="37"/>
        <v>1</v>
      </c>
      <c r="AU335">
        <f t="shared" si="35"/>
        <v>0.17024010278647714</v>
      </c>
      <c r="AV335">
        <f t="shared" si="38"/>
        <v>0</v>
      </c>
      <c r="AW335">
        <f t="shared" si="39"/>
        <v>0</v>
      </c>
      <c r="AX335">
        <f t="shared" si="40"/>
        <v>2</v>
      </c>
      <c r="AY335">
        <f t="shared" si="41"/>
        <v>0</v>
      </c>
      <c r="AZ335">
        <f t="shared" si="36"/>
        <v>2</v>
      </c>
    </row>
    <row r="336" spans="1:52" x14ac:dyDescent="0.2">
      <c r="A336">
        <v>335</v>
      </c>
      <c r="B336" t="s">
        <v>384</v>
      </c>
      <c r="C336">
        <v>0</v>
      </c>
      <c r="H336" t="s">
        <v>384</v>
      </c>
      <c r="I336" t="s">
        <v>45</v>
      </c>
      <c r="Q336" t="s">
        <v>384</v>
      </c>
      <c r="R336">
        <v>2327.229652</v>
      </c>
      <c r="S336">
        <v>6</v>
      </c>
      <c r="T336">
        <v>130</v>
      </c>
      <c r="V336">
        <v>0</v>
      </c>
      <c r="W336">
        <v>0</v>
      </c>
      <c r="X336" t="s">
        <v>384</v>
      </c>
      <c r="Y336">
        <v>-1</v>
      </c>
      <c r="Z336">
        <v>6</v>
      </c>
      <c r="AA336">
        <v>2327.23</v>
      </c>
      <c r="AB336">
        <v>130</v>
      </c>
      <c r="AC336">
        <v>11.78</v>
      </c>
      <c r="AD336">
        <v>0.13</v>
      </c>
      <c r="AE336">
        <v>0.05</v>
      </c>
      <c r="AF336">
        <v>0.02</v>
      </c>
      <c r="AG336">
        <v>1</v>
      </c>
      <c r="AH336">
        <v>11.78</v>
      </c>
      <c r="AI336">
        <v>11.78</v>
      </c>
      <c r="AJ336">
        <v>11.78</v>
      </c>
      <c r="AK336">
        <v>0.13</v>
      </c>
      <c r="AL336">
        <v>0.13</v>
      </c>
      <c r="AM336">
        <v>0.13</v>
      </c>
      <c r="AN336">
        <v>0.05</v>
      </c>
      <c r="AO336">
        <v>0.05</v>
      </c>
      <c r="AP336">
        <v>0.05</v>
      </c>
      <c r="AQ336">
        <v>2327.229652</v>
      </c>
      <c r="AR336">
        <v>0</v>
      </c>
      <c r="AS336">
        <f>_xlfn.XLOOKUP(B336,InstallDate!$H$2:$H$389,InstallDate!$BE$2:$BE$389)</f>
        <v>1</v>
      </c>
      <c r="AT336">
        <f t="shared" si="37"/>
        <v>1</v>
      </c>
      <c r="AU336">
        <f t="shared" si="35"/>
        <v>9.4595679755882109E-2</v>
      </c>
      <c r="AV336">
        <f t="shared" si="38"/>
        <v>0</v>
      </c>
      <c r="AW336">
        <f t="shared" si="39"/>
        <v>0</v>
      </c>
      <c r="AX336">
        <f t="shared" si="40"/>
        <v>2</v>
      </c>
      <c r="AY336">
        <f t="shared" si="41"/>
        <v>0</v>
      </c>
      <c r="AZ336">
        <f t="shared" si="36"/>
        <v>2</v>
      </c>
    </row>
    <row r="337" spans="1:52" x14ac:dyDescent="0.2">
      <c r="A337">
        <v>336</v>
      </c>
      <c r="B337" t="s">
        <v>385</v>
      </c>
      <c r="C337">
        <v>0</v>
      </c>
      <c r="H337" t="s">
        <v>385</v>
      </c>
      <c r="I337" t="s">
        <v>45</v>
      </c>
      <c r="Q337" t="s">
        <v>385</v>
      </c>
      <c r="R337">
        <v>28.687152619999999</v>
      </c>
      <c r="S337">
        <v>6</v>
      </c>
      <c r="T337">
        <v>130</v>
      </c>
      <c r="V337">
        <v>0</v>
      </c>
      <c r="W337">
        <v>0</v>
      </c>
      <c r="X337" t="s">
        <v>385</v>
      </c>
      <c r="Y337">
        <v>-1</v>
      </c>
      <c r="Z337">
        <v>6</v>
      </c>
      <c r="AA337">
        <v>28.69</v>
      </c>
      <c r="AB337">
        <v>130</v>
      </c>
      <c r="AC337">
        <v>5.7</v>
      </c>
      <c r="AD337">
        <v>0.06</v>
      </c>
      <c r="AE337">
        <v>0</v>
      </c>
      <c r="AF337">
        <v>0</v>
      </c>
      <c r="AG337">
        <v>1</v>
      </c>
      <c r="AH337">
        <v>5.7</v>
      </c>
      <c r="AI337">
        <v>5.7</v>
      </c>
      <c r="AJ337">
        <v>5.7</v>
      </c>
      <c r="AK337">
        <v>0.06</v>
      </c>
      <c r="AL337">
        <v>0.06</v>
      </c>
      <c r="AM337">
        <v>0.06</v>
      </c>
      <c r="AN337">
        <v>0</v>
      </c>
      <c r="AO337">
        <v>0</v>
      </c>
      <c r="AP337">
        <v>0</v>
      </c>
      <c r="AQ337">
        <v>28.687152619999999</v>
      </c>
      <c r="AR337">
        <v>0</v>
      </c>
      <c r="AS337">
        <f>_xlfn.XLOOKUP(B337,InstallDate!$H$2:$H$389,InstallDate!$BE$2:$BE$389)</f>
        <v>1</v>
      </c>
      <c r="AT337">
        <f t="shared" si="37"/>
        <v>1</v>
      </c>
      <c r="AU337">
        <f t="shared" si="35"/>
        <v>4.5772103107684897E-2</v>
      </c>
      <c r="AV337">
        <f t="shared" si="38"/>
        <v>0</v>
      </c>
      <c r="AW337">
        <f t="shared" si="39"/>
        <v>0</v>
      </c>
      <c r="AX337">
        <f t="shared" si="40"/>
        <v>2</v>
      </c>
      <c r="AY337">
        <f t="shared" si="41"/>
        <v>0</v>
      </c>
      <c r="AZ337">
        <f t="shared" si="36"/>
        <v>2</v>
      </c>
    </row>
    <row r="338" spans="1:52" x14ac:dyDescent="0.2">
      <c r="A338">
        <v>337</v>
      </c>
      <c r="B338" t="s">
        <v>386</v>
      </c>
      <c r="C338">
        <v>0</v>
      </c>
      <c r="H338" t="s">
        <v>386</v>
      </c>
      <c r="I338" t="s">
        <v>45</v>
      </c>
      <c r="Q338" t="s">
        <v>386</v>
      </c>
      <c r="R338">
        <v>192.7225832</v>
      </c>
      <c r="S338">
        <v>6</v>
      </c>
      <c r="T338">
        <v>130</v>
      </c>
      <c r="V338">
        <v>0</v>
      </c>
      <c r="W338">
        <v>0</v>
      </c>
      <c r="X338" t="s">
        <v>386</v>
      </c>
      <c r="Y338">
        <v>-1</v>
      </c>
      <c r="Z338">
        <v>6</v>
      </c>
      <c r="AA338">
        <v>192.72</v>
      </c>
      <c r="AB338">
        <v>130</v>
      </c>
      <c r="AC338">
        <v>5.7</v>
      </c>
      <c r="AD338">
        <v>0.06</v>
      </c>
      <c r="AE338">
        <v>0</v>
      </c>
      <c r="AF338">
        <v>0.01</v>
      </c>
      <c r="AG338">
        <v>1</v>
      </c>
      <c r="AH338">
        <v>5.7</v>
      </c>
      <c r="AI338">
        <v>5.7</v>
      </c>
      <c r="AJ338">
        <v>5.7</v>
      </c>
      <c r="AK338">
        <v>0.06</v>
      </c>
      <c r="AL338">
        <v>0.06</v>
      </c>
      <c r="AM338">
        <v>0.06</v>
      </c>
      <c r="AN338">
        <v>0</v>
      </c>
      <c r="AO338">
        <v>0</v>
      </c>
      <c r="AP338">
        <v>0</v>
      </c>
      <c r="AQ338">
        <v>192.7225832</v>
      </c>
      <c r="AR338">
        <v>0</v>
      </c>
      <c r="AS338">
        <f>_xlfn.XLOOKUP(B338,InstallDate!$H$2:$H$389,InstallDate!$BE$2:$BE$389)</f>
        <v>0</v>
      </c>
      <c r="AT338">
        <f t="shared" si="37"/>
        <v>0</v>
      </c>
      <c r="AU338">
        <f t="shared" si="35"/>
        <v>4.5772103107684897E-2</v>
      </c>
      <c r="AV338">
        <f t="shared" si="38"/>
        <v>0</v>
      </c>
      <c r="AW338">
        <f t="shared" si="39"/>
        <v>0</v>
      </c>
      <c r="AX338">
        <f t="shared" si="40"/>
        <v>2</v>
      </c>
      <c r="AY338">
        <f t="shared" si="41"/>
        <v>0</v>
      </c>
      <c r="AZ338">
        <f t="shared" si="36"/>
        <v>2</v>
      </c>
    </row>
    <row r="339" spans="1:52" x14ac:dyDescent="0.2">
      <c r="A339">
        <v>338</v>
      </c>
      <c r="B339" t="s">
        <v>387</v>
      </c>
      <c r="C339">
        <v>0</v>
      </c>
      <c r="H339" t="s">
        <v>387</v>
      </c>
      <c r="I339" t="s">
        <v>45</v>
      </c>
      <c r="Q339" t="s">
        <v>387</v>
      </c>
      <c r="R339">
        <v>316.4482271</v>
      </c>
      <c r="S339">
        <v>6</v>
      </c>
      <c r="T339">
        <v>130</v>
      </c>
      <c r="V339">
        <v>0</v>
      </c>
      <c r="W339">
        <v>0</v>
      </c>
      <c r="X339" t="s">
        <v>387</v>
      </c>
      <c r="Y339">
        <v>-1</v>
      </c>
      <c r="Z339">
        <v>6</v>
      </c>
      <c r="AA339">
        <v>316.45</v>
      </c>
      <c r="AB339">
        <v>130</v>
      </c>
      <c r="AC339">
        <v>5.7</v>
      </c>
      <c r="AD339">
        <v>0.06</v>
      </c>
      <c r="AE339">
        <v>0</v>
      </c>
      <c r="AF339">
        <v>0.01</v>
      </c>
      <c r="AG339">
        <v>1</v>
      </c>
      <c r="AH339">
        <v>5.7</v>
      </c>
      <c r="AI339">
        <v>5.7</v>
      </c>
      <c r="AJ339">
        <v>5.7</v>
      </c>
      <c r="AK339">
        <v>0.06</v>
      </c>
      <c r="AL339">
        <v>0.06</v>
      </c>
      <c r="AM339">
        <v>0.06</v>
      </c>
      <c r="AN339">
        <v>0</v>
      </c>
      <c r="AO339">
        <v>0</v>
      </c>
      <c r="AP339">
        <v>0</v>
      </c>
      <c r="AQ339">
        <v>316.4482271</v>
      </c>
      <c r="AR339">
        <v>0</v>
      </c>
      <c r="AS339">
        <f>_xlfn.XLOOKUP(B339,InstallDate!$H$2:$H$389,InstallDate!$BE$2:$BE$389)</f>
        <v>0</v>
      </c>
      <c r="AT339">
        <f t="shared" si="37"/>
        <v>0</v>
      </c>
      <c r="AU339">
        <f t="shared" si="35"/>
        <v>4.5772103107684897E-2</v>
      </c>
      <c r="AV339">
        <f t="shared" si="38"/>
        <v>0</v>
      </c>
      <c r="AW339">
        <f t="shared" si="39"/>
        <v>0</v>
      </c>
      <c r="AX339">
        <f t="shared" si="40"/>
        <v>2</v>
      </c>
      <c r="AY339">
        <f t="shared" si="41"/>
        <v>0</v>
      </c>
      <c r="AZ339">
        <f t="shared" si="36"/>
        <v>2</v>
      </c>
    </row>
    <row r="340" spans="1:52" x14ac:dyDescent="0.2">
      <c r="A340">
        <v>339</v>
      </c>
      <c r="B340" t="s">
        <v>388</v>
      </c>
      <c r="C340">
        <v>0</v>
      </c>
      <c r="H340" t="s">
        <v>388</v>
      </c>
      <c r="I340" t="s">
        <v>45</v>
      </c>
      <c r="Q340" t="s">
        <v>388</v>
      </c>
      <c r="R340">
        <v>442.94244400000002</v>
      </c>
      <c r="S340">
        <v>6</v>
      </c>
      <c r="T340">
        <v>130</v>
      </c>
      <c r="V340">
        <v>0</v>
      </c>
      <c r="W340">
        <v>0</v>
      </c>
      <c r="X340" t="s">
        <v>388</v>
      </c>
      <c r="Y340">
        <v>-1</v>
      </c>
      <c r="Z340">
        <v>6</v>
      </c>
      <c r="AA340">
        <v>442.94</v>
      </c>
      <c r="AB340">
        <v>130</v>
      </c>
      <c r="AC340">
        <v>5.7</v>
      </c>
      <c r="AD340">
        <v>0.06</v>
      </c>
      <c r="AE340">
        <v>0</v>
      </c>
      <c r="AF340">
        <v>0.01</v>
      </c>
      <c r="AG340">
        <v>1</v>
      </c>
      <c r="AH340">
        <v>5.7</v>
      </c>
      <c r="AI340">
        <v>5.7</v>
      </c>
      <c r="AJ340">
        <v>5.7</v>
      </c>
      <c r="AK340">
        <v>0.06</v>
      </c>
      <c r="AL340">
        <v>0.06</v>
      </c>
      <c r="AM340">
        <v>0.06</v>
      </c>
      <c r="AN340">
        <v>0</v>
      </c>
      <c r="AO340">
        <v>0</v>
      </c>
      <c r="AP340">
        <v>0</v>
      </c>
      <c r="AQ340">
        <v>442.94244400000002</v>
      </c>
      <c r="AR340">
        <v>0</v>
      </c>
      <c r="AS340">
        <f>_xlfn.XLOOKUP(B340,InstallDate!$H$2:$H$389,InstallDate!$BE$2:$BE$389)</f>
        <v>0</v>
      </c>
      <c r="AT340">
        <f t="shared" si="37"/>
        <v>0</v>
      </c>
      <c r="AU340">
        <f t="shared" si="35"/>
        <v>4.5772103107684897E-2</v>
      </c>
      <c r="AV340">
        <f t="shared" si="38"/>
        <v>0</v>
      </c>
      <c r="AW340">
        <f t="shared" si="39"/>
        <v>0</v>
      </c>
      <c r="AX340">
        <f t="shared" si="40"/>
        <v>2</v>
      </c>
      <c r="AY340">
        <f t="shared" si="41"/>
        <v>0</v>
      </c>
      <c r="AZ340">
        <f t="shared" si="36"/>
        <v>2</v>
      </c>
    </row>
    <row r="341" spans="1:52" x14ac:dyDescent="0.2">
      <c r="A341">
        <v>340</v>
      </c>
      <c r="B341" t="s">
        <v>389</v>
      </c>
      <c r="C341">
        <v>0</v>
      </c>
      <c r="H341" t="s">
        <v>389</v>
      </c>
      <c r="I341" t="s">
        <v>45</v>
      </c>
      <c r="Q341" t="s">
        <v>389</v>
      </c>
      <c r="R341">
        <v>117.7507131</v>
      </c>
      <c r="S341">
        <v>6</v>
      </c>
      <c r="T341">
        <v>130</v>
      </c>
      <c r="V341">
        <v>0</v>
      </c>
      <c r="W341">
        <v>0</v>
      </c>
      <c r="X341" t="s">
        <v>389</v>
      </c>
      <c r="Y341">
        <v>-1</v>
      </c>
      <c r="Z341">
        <v>6</v>
      </c>
      <c r="AA341">
        <v>117.75</v>
      </c>
      <c r="AB341">
        <v>130</v>
      </c>
      <c r="AC341">
        <v>5.7</v>
      </c>
      <c r="AD341">
        <v>0.06</v>
      </c>
      <c r="AE341">
        <v>0</v>
      </c>
      <c r="AF341">
        <v>0.01</v>
      </c>
      <c r="AG341">
        <v>1</v>
      </c>
      <c r="AH341">
        <v>5.7</v>
      </c>
      <c r="AI341">
        <v>5.7</v>
      </c>
      <c r="AJ341">
        <v>5.7</v>
      </c>
      <c r="AK341">
        <v>0.06</v>
      </c>
      <c r="AL341">
        <v>0.06</v>
      </c>
      <c r="AM341">
        <v>0.06</v>
      </c>
      <c r="AN341">
        <v>0</v>
      </c>
      <c r="AO341">
        <v>0</v>
      </c>
      <c r="AP341">
        <v>0</v>
      </c>
      <c r="AQ341">
        <v>117.7507131</v>
      </c>
      <c r="AR341">
        <v>0</v>
      </c>
      <c r="AS341">
        <f>_xlfn.XLOOKUP(B341,InstallDate!$H$2:$H$389,InstallDate!$BE$2:$BE$389)</f>
        <v>0</v>
      </c>
      <c r="AT341">
        <f t="shared" si="37"/>
        <v>0</v>
      </c>
      <c r="AU341">
        <f t="shared" si="35"/>
        <v>4.5772103107684897E-2</v>
      </c>
      <c r="AV341">
        <f t="shared" si="38"/>
        <v>0</v>
      </c>
      <c r="AW341">
        <f t="shared" si="39"/>
        <v>0</v>
      </c>
      <c r="AX341">
        <f t="shared" si="40"/>
        <v>2</v>
      </c>
      <c r="AY341">
        <f t="shared" si="41"/>
        <v>0</v>
      </c>
      <c r="AZ341">
        <f t="shared" si="36"/>
        <v>2</v>
      </c>
    </row>
    <row r="342" spans="1:52" x14ac:dyDescent="0.2">
      <c r="A342">
        <v>341</v>
      </c>
      <c r="B342" t="s">
        <v>390</v>
      </c>
      <c r="C342">
        <v>0</v>
      </c>
      <c r="H342" t="s">
        <v>390</v>
      </c>
      <c r="I342" t="s">
        <v>45</v>
      </c>
      <c r="Q342" t="s">
        <v>390</v>
      </c>
      <c r="R342">
        <v>221.15011870000001</v>
      </c>
      <c r="S342">
        <v>6</v>
      </c>
      <c r="T342">
        <v>130</v>
      </c>
      <c r="V342">
        <v>0</v>
      </c>
      <c r="W342">
        <v>0</v>
      </c>
      <c r="X342" t="s">
        <v>390</v>
      </c>
      <c r="Y342">
        <v>0</v>
      </c>
      <c r="Z342">
        <v>6</v>
      </c>
      <c r="AA342">
        <v>221.15</v>
      </c>
      <c r="AB342">
        <v>130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221.15011870000001</v>
      </c>
      <c r="AR342">
        <v>0</v>
      </c>
      <c r="AS342">
        <f>_xlfn.XLOOKUP(B342,InstallDate!$H$2:$H$389,InstallDate!$BE$2:$BE$389)</f>
        <v>0</v>
      </c>
      <c r="AT342">
        <f t="shared" si="37"/>
        <v>0</v>
      </c>
      <c r="AU342">
        <f t="shared" si="35"/>
        <v>0</v>
      </c>
      <c r="AV342">
        <f t="shared" si="38"/>
        <v>0</v>
      </c>
      <c r="AW342">
        <f t="shared" si="39"/>
        <v>0</v>
      </c>
      <c r="AX342">
        <f t="shared" si="40"/>
        <v>0</v>
      </c>
      <c r="AY342">
        <f t="shared" si="41"/>
        <v>1</v>
      </c>
      <c r="AZ342">
        <f t="shared" si="36"/>
        <v>1</v>
      </c>
    </row>
    <row r="343" spans="1:52" x14ac:dyDescent="0.2">
      <c r="A343">
        <v>342</v>
      </c>
      <c r="B343" t="s">
        <v>391</v>
      </c>
      <c r="C343">
        <v>0</v>
      </c>
      <c r="H343" t="s">
        <v>391</v>
      </c>
      <c r="I343" t="s">
        <v>45</v>
      </c>
      <c r="Q343" t="s">
        <v>391</v>
      </c>
      <c r="R343">
        <v>62.021624269999997</v>
      </c>
      <c r="S343">
        <v>6</v>
      </c>
      <c r="T343">
        <v>130</v>
      </c>
      <c r="V343">
        <v>0</v>
      </c>
      <c r="W343">
        <v>0</v>
      </c>
      <c r="X343" t="s">
        <v>391</v>
      </c>
      <c r="Y343">
        <v>0</v>
      </c>
      <c r="Z343">
        <v>6</v>
      </c>
      <c r="AA343">
        <v>62.02</v>
      </c>
      <c r="AB343">
        <v>130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62.021624269999997</v>
      </c>
      <c r="AR343">
        <v>0</v>
      </c>
      <c r="AS343">
        <f>_xlfn.XLOOKUP(B343,InstallDate!$H$2:$H$389,InstallDate!$BE$2:$BE$389)</f>
        <v>0</v>
      </c>
      <c r="AT343">
        <f t="shared" si="37"/>
        <v>0</v>
      </c>
      <c r="AU343">
        <f t="shared" si="35"/>
        <v>0</v>
      </c>
      <c r="AV343">
        <f t="shared" si="38"/>
        <v>0</v>
      </c>
      <c r="AW343">
        <f t="shared" si="39"/>
        <v>0</v>
      </c>
      <c r="AX343">
        <f t="shared" si="40"/>
        <v>0</v>
      </c>
      <c r="AY343">
        <f t="shared" si="41"/>
        <v>1</v>
      </c>
      <c r="AZ343">
        <f t="shared" si="36"/>
        <v>1</v>
      </c>
    </row>
    <row r="344" spans="1:52" x14ac:dyDescent="0.2">
      <c r="A344">
        <v>343</v>
      </c>
      <c r="B344" t="s">
        <v>392</v>
      </c>
      <c r="C344">
        <v>0</v>
      </c>
      <c r="H344" t="s">
        <v>392</v>
      </c>
      <c r="I344" t="s">
        <v>45</v>
      </c>
      <c r="Q344" t="s">
        <v>392</v>
      </c>
      <c r="R344">
        <v>251.70746689999999</v>
      </c>
      <c r="S344">
        <v>6</v>
      </c>
      <c r="T344">
        <v>130</v>
      </c>
      <c r="V344">
        <v>0</v>
      </c>
      <c r="W344">
        <v>0</v>
      </c>
      <c r="X344" t="s">
        <v>392</v>
      </c>
      <c r="Y344">
        <v>-1</v>
      </c>
      <c r="Z344">
        <v>6</v>
      </c>
      <c r="AA344">
        <v>251.71</v>
      </c>
      <c r="AB344">
        <v>130</v>
      </c>
      <c r="AC344">
        <v>5.7</v>
      </c>
      <c r="AD344">
        <v>0.06</v>
      </c>
      <c r="AE344">
        <v>0</v>
      </c>
      <c r="AF344">
        <v>0.01</v>
      </c>
      <c r="AG344">
        <v>1</v>
      </c>
      <c r="AH344">
        <v>5.7</v>
      </c>
      <c r="AI344">
        <v>5.7</v>
      </c>
      <c r="AJ344">
        <v>5.7</v>
      </c>
      <c r="AK344">
        <v>0.06</v>
      </c>
      <c r="AL344">
        <v>0.06</v>
      </c>
      <c r="AM344">
        <v>0.06</v>
      </c>
      <c r="AN344">
        <v>0</v>
      </c>
      <c r="AO344">
        <v>0</v>
      </c>
      <c r="AP344">
        <v>0</v>
      </c>
      <c r="AQ344">
        <v>251.70746689999999</v>
      </c>
      <c r="AR344">
        <v>0</v>
      </c>
      <c r="AS344">
        <f>_xlfn.XLOOKUP(B344,InstallDate!$H$2:$H$389,InstallDate!$BE$2:$BE$389)</f>
        <v>0</v>
      </c>
      <c r="AT344">
        <f t="shared" si="37"/>
        <v>0</v>
      </c>
      <c r="AU344">
        <f t="shared" si="35"/>
        <v>4.5772103107684897E-2</v>
      </c>
      <c r="AV344">
        <f t="shared" si="38"/>
        <v>0</v>
      </c>
      <c r="AW344">
        <f t="shared" si="39"/>
        <v>0</v>
      </c>
      <c r="AX344">
        <f t="shared" si="40"/>
        <v>2</v>
      </c>
      <c r="AY344">
        <f t="shared" si="41"/>
        <v>0</v>
      </c>
      <c r="AZ344">
        <f t="shared" si="36"/>
        <v>2</v>
      </c>
    </row>
    <row r="345" spans="1:52" x14ac:dyDescent="0.2">
      <c r="A345">
        <v>344</v>
      </c>
      <c r="B345" t="s">
        <v>393</v>
      </c>
      <c r="C345">
        <v>0</v>
      </c>
      <c r="H345" t="s">
        <v>393</v>
      </c>
      <c r="I345" t="s">
        <v>45</v>
      </c>
      <c r="Q345" t="s">
        <v>393</v>
      </c>
      <c r="R345">
        <v>278.83307439999999</v>
      </c>
      <c r="S345">
        <v>6</v>
      </c>
      <c r="T345">
        <v>130</v>
      </c>
      <c r="V345">
        <v>0</v>
      </c>
      <c r="W345">
        <v>0</v>
      </c>
      <c r="X345" t="s">
        <v>393</v>
      </c>
      <c r="Y345">
        <v>-1</v>
      </c>
      <c r="Z345">
        <v>6</v>
      </c>
      <c r="AA345">
        <v>278.83</v>
      </c>
      <c r="AB345">
        <v>130</v>
      </c>
      <c r="AC345">
        <v>5.7</v>
      </c>
      <c r="AD345">
        <v>0.06</v>
      </c>
      <c r="AE345">
        <v>0</v>
      </c>
      <c r="AF345">
        <v>0.01</v>
      </c>
      <c r="AG345">
        <v>1</v>
      </c>
      <c r="AH345">
        <v>5.7</v>
      </c>
      <c r="AI345">
        <v>5.7</v>
      </c>
      <c r="AJ345">
        <v>5.7</v>
      </c>
      <c r="AK345">
        <v>0.06</v>
      </c>
      <c r="AL345">
        <v>0.06</v>
      </c>
      <c r="AM345">
        <v>0.06</v>
      </c>
      <c r="AN345">
        <v>0</v>
      </c>
      <c r="AO345">
        <v>0</v>
      </c>
      <c r="AP345">
        <v>0</v>
      </c>
      <c r="AQ345">
        <v>278.83307439999999</v>
      </c>
      <c r="AR345">
        <v>0</v>
      </c>
      <c r="AS345">
        <f>_xlfn.XLOOKUP(B345,InstallDate!$H$2:$H$389,InstallDate!$BE$2:$BE$389)</f>
        <v>1</v>
      </c>
      <c r="AT345">
        <f t="shared" si="37"/>
        <v>1</v>
      </c>
      <c r="AU345">
        <f t="shared" si="35"/>
        <v>4.5772103107684897E-2</v>
      </c>
      <c r="AV345">
        <f t="shared" si="38"/>
        <v>0</v>
      </c>
      <c r="AW345">
        <f t="shared" si="39"/>
        <v>0</v>
      </c>
      <c r="AX345">
        <f t="shared" si="40"/>
        <v>2</v>
      </c>
      <c r="AY345">
        <f t="shared" si="41"/>
        <v>0</v>
      </c>
      <c r="AZ345">
        <f t="shared" si="36"/>
        <v>2</v>
      </c>
    </row>
    <row r="346" spans="1:52" x14ac:dyDescent="0.2">
      <c r="A346">
        <v>345</v>
      </c>
      <c r="B346" t="s">
        <v>394</v>
      </c>
      <c r="C346">
        <v>0</v>
      </c>
      <c r="H346" t="s">
        <v>394</v>
      </c>
      <c r="I346" t="s">
        <v>45</v>
      </c>
      <c r="Q346" t="s">
        <v>394</v>
      </c>
      <c r="R346">
        <v>268.18537789999999</v>
      </c>
      <c r="S346">
        <v>6</v>
      </c>
      <c r="T346">
        <v>130</v>
      </c>
      <c r="V346">
        <v>0</v>
      </c>
      <c r="W346">
        <v>0</v>
      </c>
      <c r="X346" t="s">
        <v>394</v>
      </c>
      <c r="Y346">
        <v>0</v>
      </c>
      <c r="Z346">
        <v>6</v>
      </c>
      <c r="AA346">
        <v>268.19</v>
      </c>
      <c r="AB346">
        <v>130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268.18537789999999</v>
      </c>
      <c r="AR346">
        <v>0</v>
      </c>
      <c r="AS346">
        <f>_xlfn.XLOOKUP(B346,InstallDate!$H$2:$H$389,InstallDate!$BE$2:$BE$389)</f>
        <v>0</v>
      </c>
      <c r="AT346">
        <f t="shared" si="37"/>
        <v>0</v>
      </c>
      <c r="AU346">
        <f t="shared" si="35"/>
        <v>0</v>
      </c>
      <c r="AV346">
        <f t="shared" si="38"/>
        <v>0</v>
      </c>
      <c r="AW346">
        <f t="shared" si="39"/>
        <v>0</v>
      </c>
      <c r="AX346">
        <f t="shared" si="40"/>
        <v>0</v>
      </c>
      <c r="AY346">
        <f t="shared" si="41"/>
        <v>1</v>
      </c>
      <c r="AZ346">
        <f t="shared" si="36"/>
        <v>1</v>
      </c>
    </row>
    <row r="347" spans="1:52" x14ac:dyDescent="0.2">
      <c r="A347">
        <v>346</v>
      </c>
      <c r="B347" t="s">
        <v>395</v>
      </c>
      <c r="C347">
        <v>0</v>
      </c>
      <c r="H347" t="s">
        <v>395</v>
      </c>
      <c r="I347" t="s">
        <v>45</v>
      </c>
      <c r="Q347" t="s">
        <v>395</v>
      </c>
      <c r="R347">
        <v>22.662879310000001</v>
      </c>
      <c r="S347">
        <v>6</v>
      </c>
      <c r="T347">
        <v>130</v>
      </c>
      <c r="V347">
        <v>0</v>
      </c>
      <c r="W347">
        <v>0</v>
      </c>
      <c r="X347" t="s">
        <v>395</v>
      </c>
      <c r="Y347">
        <v>-1</v>
      </c>
      <c r="Z347">
        <v>6</v>
      </c>
      <c r="AA347">
        <v>22.66</v>
      </c>
      <c r="AB347">
        <v>130</v>
      </c>
      <c r="AC347">
        <v>17.87</v>
      </c>
      <c r="AD347">
        <v>0.2</v>
      </c>
      <c r="AE347">
        <v>0</v>
      </c>
      <c r="AF347">
        <v>0.04</v>
      </c>
      <c r="AG347">
        <v>1</v>
      </c>
      <c r="AH347">
        <v>17.87</v>
      </c>
      <c r="AI347">
        <v>17.87</v>
      </c>
      <c r="AJ347">
        <v>17.87</v>
      </c>
      <c r="AK347">
        <v>0.2</v>
      </c>
      <c r="AL347">
        <v>0.2</v>
      </c>
      <c r="AM347">
        <v>0.2</v>
      </c>
      <c r="AN347">
        <v>0</v>
      </c>
      <c r="AO347">
        <v>0</v>
      </c>
      <c r="AP347">
        <v>0</v>
      </c>
      <c r="AQ347">
        <v>22.662879310000001</v>
      </c>
      <c r="AR347">
        <v>0</v>
      </c>
      <c r="AS347">
        <f>_xlfn.XLOOKUP(B347,InstallDate!$H$2:$H$389,InstallDate!$BE$2:$BE$389)</f>
        <v>0</v>
      </c>
      <c r="AT347">
        <f t="shared" si="37"/>
        <v>0</v>
      </c>
      <c r="AU347">
        <f t="shared" si="35"/>
        <v>0.14349955833935599</v>
      </c>
      <c r="AV347">
        <f t="shared" si="38"/>
        <v>0</v>
      </c>
      <c r="AW347">
        <f t="shared" si="39"/>
        <v>0</v>
      </c>
      <c r="AX347">
        <f t="shared" si="40"/>
        <v>2</v>
      </c>
      <c r="AY347">
        <f t="shared" si="41"/>
        <v>0</v>
      </c>
      <c r="AZ347">
        <f t="shared" si="36"/>
        <v>2</v>
      </c>
    </row>
    <row r="348" spans="1:52" x14ac:dyDescent="0.2">
      <c r="A348">
        <v>347</v>
      </c>
      <c r="B348" t="s">
        <v>396</v>
      </c>
      <c r="C348">
        <v>0</v>
      </c>
      <c r="H348" t="s">
        <v>396</v>
      </c>
      <c r="I348" t="s">
        <v>45</v>
      </c>
      <c r="Q348" t="s">
        <v>396</v>
      </c>
      <c r="R348">
        <v>482.20345070000002</v>
      </c>
      <c r="S348">
        <v>6</v>
      </c>
      <c r="T348">
        <v>130</v>
      </c>
      <c r="V348">
        <v>0</v>
      </c>
      <c r="W348">
        <v>0</v>
      </c>
      <c r="X348" t="s">
        <v>396</v>
      </c>
      <c r="Y348">
        <v>-1</v>
      </c>
      <c r="Z348">
        <v>6</v>
      </c>
      <c r="AA348">
        <v>482.2</v>
      </c>
      <c r="AB348">
        <v>130</v>
      </c>
      <c r="AC348">
        <v>17.87</v>
      </c>
      <c r="AD348">
        <v>0.2</v>
      </c>
      <c r="AE348">
        <v>0.02</v>
      </c>
      <c r="AF348">
        <v>0.04</v>
      </c>
      <c r="AG348">
        <v>1</v>
      </c>
      <c r="AH348">
        <v>17.87</v>
      </c>
      <c r="AI348">
        <v>17.87</v>
      </c>
      <c r="AJ348">
        <v>17.87</v>
      </c>
      <c r="AK348">
        <v>0.2</v>
      </c>
      <c r="AL348">
        <v>0.2</v>
      </c>
      <c r="AM348">
        <v>0.2</v>
      </c>
      <c r="AN348">
        <v>0.02</v>
      </c>
      <c r="AO348">
        <v>0.02</v>
      </c>
      <c r="AP348">
        <v>0.02</v>
      </c>
      <c r="AQ348">
        <v>482.20345070000002</v>
      </c>
      <c r="AR348">
        <v>0</v>
      </c>
      <c r="AS348">
        <f>_xlfn.XLOOKUP(B348,InstallDate!$H$2:$H$389,InstallDate!$BE$2:$BE$389)</f>
        <v>0</v>
      </c>
      <c r="AT348">
        <f t="shared" si="37"/>
        <v>0</v>
      </c>
      <c r="AU348">
        <f t="shared" si="35"/>
        <v>0.14349955833935599</v>
      </c>
      <c r="AV348">
        <f t="shared" si="38"/>
        <v>0</v>
      </c>
      <c r="AW348">
        <f t="shared" si="39"/>
        <v>0</v>
      </c>
      <c r="AX348">
        <f t="shared" si="40"/>
        <v>2</v>
      </c>
      <c r="AY348">
        <f t="shared" si="41"/>
        <v>0</v>
      </c>
      <c r="AZ348">
        <f t="shared" si="36"/>
        <v>2</v>
      </c>
    </row>
    <row r="349" spans="1:52" x14ac:dyDescent="0.2">
      <c r="A349">
        <v>348</v>
      </c>
      <c r="B349" t="s">
        <v>397</v>
      </c>
      <c r="C349">
        <v>0</v>
      </c>
      <c r="H349" t="s">
        <v>397</v>
      </c>
      <c r="I349" t="s">
        <v>45</v>
      </c>
      <c r="Q349" t="s">
        <v>397</v>
      </c>
      <c r="R349">
        <v>339.37471599999998</v>
      </c>
      <c r="S349">
        <v>6</v>
      </c>
      <c r="T349">
        <v>130</v>
      </c>
      <c r="V349">
        <v>0</v>
      </c>
      <c r="W349">
        <v>0</v>
      </c>
      <c r="X349" t="s">
        <v>397</v>
      </c>
      <c r="Y349">
        <v>-1</v>
      </c>
      <c r="Z349">
        <v>6</v>
      </c>
      <c r="AA349">
        <v>339.37</v>
      </c>
      <c r="AB349">
        <v>130</v>
      </c>
      <c r="AC349">
        <v>17.87</v>
      </c>
      <c r="AD349">
        <v>0.2</v>
      </c>
      <c r="AE349">
        <v>0.01</v>
      </c>
      <c r="AF349">
        <v>0.04</v>
      </c>
      <c r="AG349">
        <v>1</v>
      </c>
      <c r="AH349">
        <v>17.87</v>
      </c>
      <c r="AI349">
        <v>17.87</v>
      </c>
      <c r="AJ349">
        <v>17.87</v>
      </c>
      <c r="AK349">
        <v>0.2</v>
      </c>
      <c r="AL349">
        <v>0.2</v>
      </c>
      <c r="AM349">
        <v>0.2</v>
      </c>
      <c r="AN349">
        <v>0.01</v>
      </c>
      <c r="AO349">
        <v>0.01</v>
      </c>
      <c r="AP349">
        <v>0.01</v>
      </c>
      <c r="AQ349">
        <v>339.37471599999998</v>
      </c>
      <c r="AR349">
        <v>0</v>
      </c>
      <c r="AS349">
        <f>_xlfn.XLOOKUP(B349,InstallDate!$H$2:$H$389,InstallDate!$BE$2:$BE$389)</f>
        <v>0</v>
      </c>
      <c r="AT349">
        <f t="shared" si="37"/>
        <v>0</v>
      </c>
      <c r="AU349">
        <f t="shared" si="35"/>
        <v>0.14349955833935599</v>
      </c>
      <c r="AV349">
        <f t="shared" si="38"/>
        <v>0</v>
      </c>
      <c r="AW349">
        <f t="shared" si="39"/>
        <v>0</v>
      </c>
      <c r="AX349">
        <f t="shared" si="40"/>
        <v>2</v>
      </c>
      <c r="AY349">
        <f t="shared" si="41"/>
        <v>0</v>
      </c>
      <c r="AZ349">
        <f t="shared" si="36"/>
        <v>2</v>
      </c>
    </row>
    <row r="350" spans="1:52" x14ac:dyDescent="0.2">
      <c r="A350">
        <v>349</v>
      </c>
      <c r="B350" t="s">
        <v>398</v>
      </c>
      <c r="C350">
        <v>0</v>
      </c>
      <c r="H350" t="s">
        <v>398</v>
      </c>
      <c r="I350" t="s">
        <v>45</v>
      </c>
      <c r="Q350" t="s">
        <v>398</v>
      </c>
      <c r="R350">
        <v>34.969957809999997</v>
      </c>
      <c r="S350">
        <v>6</v>
      </c>
      <c r="T350">
        <v>130</v>
      </c>
      <c r="V350">
        <v>0</v>
      </c>
      <c r="W350">
        <v>0</v>
      </c>
      <c r="X350" t="s">
        <v>398</v>
      </c>
      <c r="Y350">
        <v>-1</v>
      </c>
      <c r="Z350">
        <v>6</v>
      </c>
      <c r="AA350">
        <v>34.97</v>
      </c>
      <c r="AB350">
        <v>130</v>
      </c>
      <c r="AC350">
        <v>17.41</v>
      </c>
      <c r="AD350">
        <v>0.2</v>
      </c>
      <c r="AE350">
        <v>0</v>
      </c>
      <c r="AF350">
        <v>0.04</v>
      </c>
      <c r="AG350">
        <v>1</v>
      </c>
      <c r="AH350">
        <v>17.41</v>
      </c>
      <c r="AI350">
        <v>17.41</v>
      </c>
      <c r="AJ350">
        <v>17.41</v>
      </c>
      <c r="AK350">
        <v>0.2</v>
      </c>
      <c r="AL350">
        <v>0.2</v>
      </c>
      <c r="AM350">
        <v>0.2</v>
      </c>
      <c r="AN350">
        <v>0</v>
      </c>
      <c r="AO350">
        <v>0</v>
      </c>
      <c r="AP350">
        <v>0</v>
      </c>
      <c r="AQ350">
        <v>34.969957809999997</v>
      </c>
      <c r="AR350">
        <v>0</v>
      </c>
      <c r="AS350">
        <f>_xlfn.XLOOKUP(B350,InstallDate!$H$2:$H$389,InstallDate!$BE$2:$BE$389)</f>
        <v>0</v>
      </c>
      <c r="AT350">
        <f t="shared" si="37"/>
        <v>0</v>
      </c>
      <c r="AU350">
        <f t="shared" si="35"/>
        <v>0.13980566931663052</v>
      </c>
      <c r="AV350">
        <f t="shared" si="38"/>
        <v>0</v>
      </c>
      <c r="AW350">
        <f t="shared" si="39"/>
        <v>0</v>
      </c>
      <c r="AX350">
        <f t="shared" si="40"/>
        <v>2</v>
      </c>
      <c r="AY350">
        <f t="shared" si="41"/>
        <v>0</v>
      </c>
      <c r="AZ350">
        <f t="shared" si="36"/>
        <v>2</v>
      </c>
    </row>
    <row r="351" spans="1:52" x14ac:dyDescent="0.2">
      <c r="A351">
        <v>350</v>
      </c>
      <c r="B351" t="s">
        <v>399</v>
      </c>
      <c r="C351">
        <v>0</v>
      </c>
      <c r="H351" t="s">
        <v>399</v>
      </c>
      <c r="I351" t="s">
        <v>45</v>
      </c>
      <c r="Q351" t="s">
        <v>399</v>
      </c>
      <c r="R351">
        <v>630.85740880000003</v>
      </c>
      <c r="S351">
        <v>6</v>
      </c>
      <c r="T351">
        <v>130</v>
      </c>
      <c r="V351">
        <v>0</v>
      </c>
      <c r="W351">
        <v>0</v>
      </c>
      <c r="X351" t="s">
        <v>399</v>
      </c>
      <c r="Y351">
        <v>-1</v>
      </c>
      <c r="Z351">
        <v>6</v>
      </c>
      <c r="AA351">
        <v>630.86</v>
      </c>
      <c r="AB351">
        <v>130</v>
      </c>
      <c r="AC351">
        <v>17.41</v>
      </c>
      <c r="AD351">
        <v>0.2</v>
      </c>
      <c r="AE351">
        <v>0.03</v>
      </c>
      <c r="AF351">
        <v>0.04</v>
      </c>
      <c r="AG351">
        <v>1</v>
      </c>
      <c r="AH351">
        <v>17.41</v>
      </c>
      <c r="AI351">
        <v>17.41</v>
      </c>
      <c r="AJ351">
        <v>17.41</v>
      </c>
      <c r="AK351">
        <v>0.2</v>
      </c>
      <c r="AL351">
        <v>0.2</v>
      </c>
      <c r="AM351">
        <v>0.2</v>
      </c>
      <c r="AN351">
        <v>0.03</v>
      </c>
      <c r="AO351">
        <v>0.03</v>
      </c>
      <c r="AP351">
        <v>0.03</v>
      </c>
      <c r="AQ351">
        <v>630.85740880000003</v>
      </c>
      <c r="AR351">
        <v>0</v>
      </c>
      <c r="AS351">
        <f>_xlfn.XLOOKUP(B351,InstallDate!$H$2:$H$389,InstallDate!$BE$2:$BE$389)</f>
        <v>0</v>
      </c>
      <c r="AT351">
        <f t="shared" si="37"/>
        <v>0</v>
      </c>
      <c r="AU351">
        <f t="shared" si="35"/>
        <v>0.13980566931663052</v>
      </c>
      <c r="AV351">
        <f t="shared" si="38"/>
        <v>0</v>
      </c>
      <c r="AW351">
        <f t="shared" si="39"/>
        <v>0</v>
      </c>
      <c r="AX351">
        <f t="shared" si="40"/>
        <v>2</v>
      </c>
      <c r="AY351">
        <f t="shared" si="41"/>
        <v>0</v>
      </c>
      <c r="AZ351">
        <f t="shared" si="36"/>
        <v>2</v>
      </c>
    </row>
    <row r="352" spans="1:52" x14ac:dyDescent="0.2">
      <c r="A352">
        <v>351</v>
      </c>
      <c r="B352" t="s">
        <v>400</v>
      </c>
      <c r="C352">
        <v>0</v>
      </c>
      <c r="H352" t="s">
        <v>400</v>
      </c>
      <c r="I352" t="s">
        <v>45</v>
      </c>
      <c r="Q352" t="s">
        <v>400</v>
      </c>
      <c r="R352">
        <v>32.060694859999998</v>
      </c>
      <c r="S352">
        <v>6</v>
      </c>
      <c r="T352">
        <v>130</v>
      </c>
      <c r="V352">
        <v>0</v>
      </c>
      <c r="W352">
        <v>0</v>
      </c>
      <c r="X352" t="s">
        <v>400</v>
      </c>
      <c r="Y352">
        <v>-1</v>
      </c>
      <c r="Z352">
        <v>6</v>
      </c>
      <c r="AA352">
        <v>32.06</v>
      </c>
      <c r="AB352">
        <v>130</v>
      </c>
      <c r="AC352">
        <v>17.41</v>
      </c>
      <c r="AD352">
        <v>0.2</v>
      </c>
      <c r="AE352">
        <v>0</v>
      </c>
      <c r="AF352">
        <v>0.04</v>
      </c>
      <c r="AG352">
        <v>1</v>
      </c>
      <c r="AH352">
        <v>17.41</v>
      </c>
      <c r="AI352">
        <v>17.41</v>
      </c>
      <c r="AJ352">
        <v>17.41</v>
      </c>
      <c r="AK352">
        <v>0.2</v>
      </c>
      <c r="AL352">
        <v>0.2</v>
      </c>
      <c r="AM352">
        <v>0.2</v>
      </c>
      <c r="AN352">
        <v>0</v>
      </c>
      <c r="AO352">
        <v>0</v>
      </c>
      <c r="AP352">
        <v>0</v>
      </c>
      <c r="AQ352">
        <v>32.060694859999998</v>
      </c>
      <c r="AR352">
        <v>0</v>
      </c>
      <c r="AS352">
        <f>_xlfn.XLOOKUP(B352,InstallDate!$H$2:$H$389,InstallDate!$BE$2:$BE$389)</f>
        <v>0</v>
      </c>
      <c r="AT352">
        <f t="shared" si="37"/>
        <v>0</v>
      </c>
      <c r="AU352">
        <f t="shared" si="35"/>
        <v>0.13980566931663052</v>
      </c>
      <c r="AV352">
        <f t="shared" si="38"/>
        <v>0</v>
      </c>
      <c r="AW352">
        <f t="shared" si="39"/>
        <v>0</v>
      </c>
      <c r="AX352">
        <f t="shared" si="40"/>
        <v>2</v>
      </c>
      <c r="AY352">
        <f t="shared" si="41"/>
        <v>0</v>
      </c>
      <c r="AZ352">
        <f t="shared" si="36"/>
        <v>2</v>
      </c>
    </row>
    <row r="353" spans="1:52" x14ac:dyDescent="0.2">
      <c r="A353">
        <v>352</v>
      </c>
      <c r="B353" t="s">
        <v>401</v>
      </c>
      <c r="C353">
        <v>0</v>
      </c>
      <c r="H353" t="s">
        <v>401</v>
      </c>
      <c r="I353" t="s">
        <v>45</v>
      </c>
      <c r="Q353" t="s">
        <v>401</v>
      </c>
      <c r="R353">
        <v>52.684601260000001</v>
      </c>
      <c r="S353">
        <v>6</v>
      </c>
      <c r="T353">
        <v>130</v>
      </c>
      <c r="V353">
        <v>0</v>
      </c>
      <c r="W353">
        <v>0</v>
      </c>
      <c r="X353" t="s">
        <v>401</v>
      </c>
      <c r="Y353">
        <v>0</v>
      </c>
      <c r="Z353">
        <v>6</v>
      </c>
      <c r="AA353">
        <v>52.68</v>
      </c>
      <c r="AB353">
        <v>130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52.684601260000001</v>
      </c>
      <c r="AR353">
        <v>0</v>
      </c>
      <c r="AS353">
        <f>_xlfn.XLOOKUP(B353,InstallDate!$H$2:$H$389,InstallDate!$BE$2:$BE$389)</f>
        <v>0</v>
      </c>
      <c r="AT353">
        <f t="shared" si="37"/>
        <v>0</v>
      </c>
      <c r="AU353">
        <f t="shared" si="35"/>
        <v>0</v>
      </c>
      <c r="AV353">
        <f t="shared" si="38"/>
        <v>0</v>
      </c>
      <c r="AW353">
        <f t="shared" si="39"/>
        <v>0</v>
      </c>
      <c r="AX353">
        <f t="shared" si="40"/>
        <v>0</v>
      </c>
      <c r="AY353">
        <f t="shared" si="41"/>
        <v>1</v>
      </c>
      <c r="AZ353">
        <f t="shared" si="36"/>
        <v>1</v>
      </c>
    </row>
    <row r="354" spans="1:52" x14ac:dyDescent="0.2">
      <c r="A354">
        <v>353</v>
      </c>
      <c r="B354" t="s">
        <v>402</v>
      </c>
      <c r="C354">
        <v>0</v>
      </c>
      <c r="H354" t="s">
        <v>402</v>
      </c>
      <c r="I354" t="s">
        <v>45</v>
      </c>
      <c r="Q354" t="s">
        <v>402</v>
      </c>
      <c r="R354">
        <v>1053.3408509999999</v>
      </c>
      <c r="S354">
        <v>6</v>
      </c>
      <c r="T354">
        <v>130</v>
      </c>
      <c r="V354">
        <v>0</v>
      </c>
      <c r="W354">
        <v>0</v>
      </c>
      <c r="X354" t="s">
        <v>402</v>
      </c>
      <c r="Y354">
        <v>0</v>
      </c>
      <c r="Z354">
        <v>6</v>
      </c>
      <c r="AA354">
        <v>1053.3399999999999</v>
      </c>
      <c r="AB354">
        <v>130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1053.3408509999999</v>
      </c>
      <c r="AR354">
        <v>0</v>
      </c>
      <c r="AS354">
        <f>_xlfn.XLOOKUP(B354,InstallDate!$H$2:$H$389,InstallDate!$BE$2:$BE$389)</f>
        <v>0</v>
      </c>
      <c r="AT354">
        <f t="shared" si="37"/>
        <v>0</v>
      </c>
      <c r="AU354">
        <f t="shared" si="35"/>
        <v>0</v>
      </c>
      <c r="AV354">
        <f t="shared" si="38"/>
        <v>0</v>
      </c>
      <c r="AW354">
        <f t="shared" si="39"/>
        <v>0</v>
      </c>
      <c r="AX354">
        <f t="shared" si="40"/>
        <v>0</v>
      </c>
      <c r="AY354">
        <f t="shared" si="41"/>
        <v>1</v>
      </c>
      <c r="AZ354">
        <f t="shared" si="36"/>
        <v>1</v>
      </c>
    </row>
    <row r="355" spans="1:52" x14ac:dyDescent="0.2">
      <c r="A355">
        <v>354</v>
      </c>
      <c r="B355" t="s">
        <v>403</v>
      </c>
      <c r="C355">
        <v>0</v>
      </c>
      <c r="H355" t="s">
        <v>403</v>
      </c>
      <c r="I355" t="s">
        <v>45</v>
      </c>
      <c r="Q355" t="s">
        <v>403</v>
      </c>
      <c r="R355">
        <v>754.21066410000003</v>
      </c>
      <c r="S355">
        <v>6</v>
      </c>
      <c r="T355">
        <v>130</v>
      </c>
      <c r="V355">
        <v>0</v>
      </c>
      <c r="W355">
        <v>0</v>
      </c>
      <c r="X355" t="s">
        <v>403</v>
      </c>
      <c r="Y355">
        <v>-1</v>
      </c>
      <c r="Z355">
        <v>6</v>
      </c>
      <c r="AA355">
        <v>754.21</v>
      </c>
      <c r="AB355">
        <v>130</v>
      </c>
      <c r="AC355">
        <v>1.53</v>
      </c>
      <c r="AD355">
        <v>0.02</v>
      </c>
      <c r="AE355">
        <v>0</v>
      </c>
      <c r="AF355">
        <v>0</v>
      </c>
      <c r="AG355">
        <v>1</v>
      </c>
      <c r="AH355">
        <v>1.53</v>
      </c>
      <c r="AI355">
        <v>1.53</v>
      </c>
      <c r="AJ355">
        <v>1.53</v>
      </c>
      <c r="AK355">
        <v>0.02</v>
      </c>
      <c r="AL355">
        <v>0.02</v>
      </c>
      <c r="AM355">
        <v>0.02</v>
      </c>
      <c r="AN355">
        <v>0</v>
      </c>
      <c r="AO355">
        <v>0</v>
      </c>
      <c r="AP355">
        <v>0</v>
      </c>
      <c r="AQ355">
        <v>754.21066410000003</v>
      </c>
      <c r="AR355">
        <v>0</v>
      </c>
      <c r="AS355">
        <f>_xlfn.XLOOKUP(B355,InstallDate!$H$2:$H$389,InstallDate!$BE$2:$BE$389)</f>
        <v>0</v>
      </c>
      <c r="AT355">
        <f t="shared" si="37"/>
        <v>0</v>
      </c>
      <c r="AU355">
        <f t="shared" si="35"/>
        <v>1.2286196097325945E-2</v>
      </c>
      <c r="AV355">
        <f t="shared" si="38"/>
        <v>0</v>
      </c>
      <c r="AW355">
        <f t="shared" si="39"/>
        <v>0</v>
      </c>
      <c r="AX355">
        <f t="shared" si="40"/>
        <v>0</v>
      </c>
      <c r="AY355">
        <f t="shared" si="41"/>
        <v>1</v>
      </c>
      <c r="AZ355">
        <f t="shared" si="36"/>
        <v>1</v>
      </c>
    </row>
    <row r="356" spans="1:52" x14ac:dyDescent="0.2">
      <c r="A356">
        <v>355</v>
      </c>
      <c r="B356" t="s">
        <v>404</v>
      </c>
      <c r="C356">
        <v>0</v>
      </c>
      <c r="H356" t="s">
        <v>404</v>
      </c>
      <c r="I356" t="s">
        <v>45</v>
      </c>
      <c r="Q356" t="s">
        <v>404</v>
      </c>
      <c r="R356">
        <v>25.70102266</v>
      </c>
      <c r="S356">
        <v>6</v>
      </c>
      <c r="T356">
        <v>130</v>
      </c>
      <c r="V356">
        <v>0</v>
      </c>
      <c r="W356">
        <v>0</v>
      </c>
      <c r="X356" t="s">
        <v>404</v>
      </c>
      <c r="Y356">
        <v>-1</v>
      </c>
      <c r="Z356">
        <v>6</v>
      </c>
      <c r="AA356">
        <v>25.7</v>
      </c>
      <c r="AB356">
        <v>130</v>
      </c>
      <c r="AC356">
        <v>1.53</v>
      </c>
      <c r="AD356">
        <v>0.02</v>
      </c>
      <c r="AE356">
        <v>0</v>
      </c>
      <c r="AF356">
        <v>0</v>
      </c>
      <c r="AG356">
        <v>1</v>
      </c>
      <c r="AH356">
        <v>1.53</v>
      </c>
      <c r="AI356">
        <v>1.53</v>
      </c>
      <c r="AJ356">
        <v>1.53</v>
      </c>
      <c r="AK356">
        <v>0.02</v>
      </c>
      <c r="AL356">
        <v>0.02</v>
      </c>
      <c r="AM356">
        <v>0.02</v>
      </c>
      <c r="AN356">
        <v>0</v>
      </c>
      <c r="AO356">
        <v>0</v>
      </c>
      <c r="AP356">
        <v>0</v>
      </c>
      <c r="AQ356">
        <v>25.70102266</v>
      </c>
      <c r="AR356">
        <v>0</v>
      </c>
      <c r="AS356">
        <f>_xlfn.XLOOKUP(B356,InstallDate!$H$2:$H$389,InstallDate!$BE$2:$BE$389)</f>
        <v>0</v>
      </c>
      <c r="AT356">
        <f t="shared" si="37"/>
        <v>0</v>
      </c>
      <c r="AU356">
        <f t="shared" si="35"/>
        <v>1.2286196097325945E-2</v>
      </c>
      <c r="AV356">
        <f t="shared" si="38"/>
        <v>0</v>
      </c>
      <c r="AW356">
        <f t="shared" si="39"/>
        <v>0</v>
      </c>
      <c r="AX356">
        <f t="shared" si="40"/>
        <v>0</v>
      </c>
      <c r="AY356">
        <f t="shared" si="41"/>
        <v>1</v>
      </c>
      <c r="AZ356">
        <f t="shared" si="36"/>
        <v>1</v>
      </c>
    </row>
    <row r="357" spans="1:52" x14ac:dyDescent="0.2">
      <c r="A357">
        <v>356</v>
      </c>
      <c r="B357" t="s">
        <v>405</v>
      </c>
      <c r="C357">
        <v>0</v>
      </c>
      <c r="H357" t="s">
        <v>405</v>
      </c>
      <c r="Q357" t="s">
        <v>405</v>
      </c>
      <c r="R357">
        <v>9.8000000000000007</v>
      </c>
      <c r="S357">
        <v>6</v>
      </c>
      <c r="T357">
        <v>130</v>
      </c>
      <c r="U357">
        <v>0</v>
      </c>
      <c r="V357">
        <v>0</v>
      </c>
      <c r="W357">
        <v>0</v>
      </c>
      <c r="X357" t="s">
        <v>405</v>
      </c>
      <c r="Y357">
        <v>-1</v>
      </c>
      <c r="Z357">
        <v>6</v>
      </c>
      <c r="AA357">
        <v>9.8000000000000007</v>
      </c>
      <c r="AB357">
        <v>130</v>
      </c>
      <c r="AC357">
        <v>0.87</v>
      </c>
      <c r="AD357">
        <v>0.01</v>
      </c>
      <c r="AE357">
        <v>0</v>
      </c>
      <c r="AF357">
        <v>0</v>
      </c>
      <c r="AG357">
        <v>1</v>
      </c>
      <c r="AH357">
        <v>0.87</v>
      </c>
      <c r="AI357">
        <v>0.87</v>
      </c>
      <c r="AJ357">
        <v>0.87</v>
      </c>
      <c r="AK357">
        <v>0.01</v>
      </c>
      <c r="AL357">
        <v>0.01</v>
      </c>
      <c r="AM357">
        <v>0.01</v>
      </c>
      <c r="AN357">
        <v>0</v>
      </c>
      <c r="AO357">
        <v>0</v>
      </c>
      <c r="AP357">
        <v>0</v>
      </c>
      <c r="AQ357">
        <v>11.116970569999999</v>
      </c>
      <c r="AR357">
        <v>0</v>
      </c>
      <c r="AS357">
        <f>_xlfn.XLOOKUP(B357,InstallDate!$H$2:$H$389,InstallDate!$BE$2:$BE$389)</f>
        <v>0</v>
      </c>
      <c r="AT357">
        <f t="shared" si="37"/>
        <v>0</v>
      </c>
      <c r="AU357">
        <f t="shared" si="35"/>
        <v>6.9862683690676943E-3</v>
      </c>
      <c r="AV357">
        <f t="shared" si="38"/>
        <v>0</v>
      </c>
      <c r="AW357">
        <f t="shared" si="39"/>
        <v>0</v>
      </c>
      <c r="AX357">
        <f t="shared" si="40"/>
        <v>0</v>
      </c>
      <c r="AY357">
        <f t="shared" si="41"/>
        <v>1</v>
      </c>
      <c r="AZ357">
        <f t="shared" si="36"/>
        <v>1</v>
      </c>
    </row>
    <row r="358" spans="1:52" x14ac:dyDescent="0.2">
      <c r="A358">
        <v>357</v>
      </c>
      <c r="B358" t="s">
        <v>406</v>
      </c>
      <c r="C358">
        <v>0</v>
      </c>
      <c r="H358" t="s">
        <v>406</v>
      </c>
      <c r="I358" t="s">
        <v>45</v>
      </c>
      <c r="Q358" t="s">
        <v>406</v>
      </c>
      <c r="R358">
        <v>1047.162738</v>
      </c>
      <c r="S358">
        <v>6</v>
      </c>
      <c r="T358">
        <v>130</v>
      </c>
      <c r="V358">
        <v>0</v>
      </c>
      <c r="W358">
        <v>0</v>
      </c>
      <c r="X358" t="s">
        <v>406</v>
      </c>
      <c r="Y358">
        <v>-1</v>
      </c>
      <c r="Z358">
        <v>6</v>
      </c>
      <c r="AA358">
        <v>1047.1600000000001</v>
      </c>
      <c r="AB358">
        <v>130</v>
      </c>
      <c r="AC358">
        <v>0.87</v>
      </c>
      <c r="AD358">
        <v>0.01</v>
      </c>
      <c r="AE358">
        <v>0</v>
      </c>
      <c r="AF358">
        <v>0</v>
      </c>
      <c r="AG358">
        <v>1</v>
      </c>
      <c r="AH358">
        <v>0.87</v>
      </c>
      <c r="AI358">
        <v>0.87</v>
      </c>
      <c r="AJ358">
        <v>0.87</v>
      </c>
      <c r="AK358">
        <v>0.01</v>
      </c>
      <c r="AL358">
        <v>0.01</v>
      </c>
      <c r="AM358">
        <v>0.01</v>
      </c>
      <c r="AN358">
        <v>0</v>
      </c>
      <c r="AO358">
        <v>0</v>
      </c>
      <c r="AP358">
        <v>0</v>
      </c>
      <c r="AQ358">
        <v>1047.162738</v>
      </c>
      <c r="AR358">
        <v>0</v>
      </c>
      <c r="AS358">
        <f>_xlfn.XLOOKUP(B358,InstallDate!$H$2:$H$389,InstallDate!$BE$2:$BE$389)</f>
        <v>0</v>
      </c>
      <c r="AT358">
        <f t="shared" si="37"/>
        <v>0</v>
      </c>
      <c r="AU358">
        <f t="shared" si="35"/>
        <v>6.9862683690676943E-3</v>
      </c>
      <c r="AV358">
        <f t="shared" si="38"/>
        <v>0</v>
      </c>
      <c r="AW358">
        <f t="shared" si="39"/>
        <v>0</v>
      </c>
      <c r="AX358">
        <f t="shared" si="40"/>
        <v>0</v>
      </c>
      <c r="AY358">
        <f t="shared" si="41"/>
        <v>1</v>
      </c>
      <c r="AZ358">
        <f t="shared" si="36"/>
        <v>1</v>
      </c>
    </row>
    <row r="359" spans="1:52" x14ac:dyDescent="0.2">
      <c r="A359">
        <v>358</v>
      </c>
      <c r="B359" t="s">
        <v>407</v>
      </c>
      <c r="C359">
        <v>0</v>
      </c>
      <c r="H359" t="s">
        <v>407</v>
      </c>
      <c r="I359" t="s">
        <v>45</v>
      </c>
      <c r="Q359" t="s">
        <v>407</v>
      </c>
      <c r="R359">
        <v>579.18293170000004</v>
      </c>
      <c r="S359">
        <v>6</v>
      </c>
      <c r="T359">
        <v>130</v>
      </c>
      <c r="V359">
        <v>0</v>
      </c>
      <c r="W359">
        <v>0</v>
      </c>
      <c r="X359" t="s">
        <v>407</v>
      </c>
      <c r="Y359">
        <v>-1</v>
      </c>
      <c r="Z359">
        <v>6</v>
      </c>
      <c r="AA359">
        <v>579.17999999999995</v>
      </c>
      <c r="AB359">
        <v>130</v>
      </c>
      <c r="AC359">
        <v>2.67</v>
      </c>
      <c r="AD359">
        <v>0.03</v>
      </c>
      <c r="AE359">
        <v>0</v>
      </c>
      <c r="AF359">
        <v>0</v>
      </c>
      <c r="AG359">
        <v>1</v>
      </c>
      <c r="AH359">
        <v>2.67</v>
      </c>
      <c r="AI359">
        <v>2.67</v>
      </c>
      <c r="AJ359">
        <v>2.67</v>
      </c>
      <c r="AK359">
        <v>0.03</v>
      </c>
      <c r="AL359">
        <v>0.03</v>
      </c>
      <c r="AM359">
        <v>0.03</v>
      </c>
      <c r="AN359">
        <v>0</v>
      </c>
      <c r="AO359">
        <v>0</v>
      </c>
      <c r="AP359">
        <v>0</v>
      </c>
      <c r="AQ359">
        <v>579.18293170000004</v>
      </c>
      <c r="AR359">
        <v>0</v>
      </c>
      <c r="AS359">
        <f>_xlfn.XLOOKUP(B359,InstallDate!$H$2:$H$389,InstallDate!$BE$2:$BE$389)</f>
        <v>0</v>
      </c>
      <c r="AT359">
        <f t="shared" si="37"/>
        <v>0</v>
      </c>
      <c r="AU359">
        <f t="shared" si="35"/>
        <v>2.1440616718862923E-2</v>
      </c>
      <c r="AV359">
        <f t="shared" si="38"/>
        <v>0</v>
      </c>
      <c r="AW359">
        <f t="shared" si="39"/>
        <v>0</v>
      </c>
      <c r="AX359">
        <f t="shared" si="40"/>
        <v>0</v>
      </c>
      <c r="AY359">
        <f t="shared" si="41"/>
        <v>1</v>
      </c>
      <c r="AZ359">
        <f t="shared" si="36"/>
        <v>1</v>
      </c>
    </row>
    <row r="360" spans="1:52" x14ac:dyDescent="0.2">
      <c r="A360">
        <v>359</v>
      </c>
      <c r="B360" t="s">
        <v>408</v>
      </c>
      <c r="C360">
        <v>0</v>
      </c>
      <c r="H360" t="s">
        <v>408</v>
      </c>
      <c r="I360" t="s">
        <v>45</v>
      </c>
      <c r="Q360" t="s">
        <v>408</v>
      </c>
      <c r="R360">
        <v>41.573105849999997</v>
      </c>
      <c r="S360">
        <v>6</v>
      </c>
      <c r="T360">
        <v>130</v>
      </c>
      <c r="V360">
        <v>0</v>
      </c>
      <c r="W360">
        <v>0</v>
      </c>
      <c r="X360" t="s">
        <v>408</v>
      </c>
      <c r="Y360">
        <v>-1</v>
      </c>
      <c r="Z360">
        <v>6</v>
      </c>
      <c r="AA360">
        <v>41.57</v>
      </c>
      <c r="AB360">
        <v>130</v>
      </c>
      <c r="AC360">
        <v>29.5</v>
      </c>
      <c r="AD360">
        <v>0.33</v>
      </c>
      <c r="AE360">
        <v>0</v>
      </c>
      <c r="AF360">
        <v>0.11</v>
      </c>
      <c r="AG360">
        <v>1</v>
      </c>
      <c r="AH360">
        <v>29.5</v>
      </c>
      <c r="AI360">
        <v>29.5</v>
      </c>
      <c r="AJ360">
        <v>29.5</v>
      </c>
      <c r="AK360">
        <v>0.33</v>
      </c>
      <c r="AL360">
        <v>0.33</v>
      </c>
      <c r="AM360">
        <v>0.33</v>
      </c>
      <c r="AN360">
        <v>0</v>
      </c>
      <c r="AO360">
        <v>0</v>
      </c>
      <c r="AP360">
        <v>0</v>
      </c>
      <c r="AQ360">
        <v>41.573105849999997</v>
      </c>
      <c r="AR360">
        <v>0</v>
      </c>
      <c r="AS360">
        <f>_xlfn.XLOOKUP(B360,InstallDate!$H$2:$H$389,InstallDate!$BE$2:$BE$389)</f>
        <v>1</v>
      </c>
      <c r="AT360">
        <f t="shared" si="37"/>
        <v>1</v>
      </c>
      <c r="AU360">
        <f t="shared" si="35"/>
        <v>0.2368907090660885</v>
      </c>
      <c r="AV360">
        <f t="shared" si="38"/>
        <v>0</v>
      </c>
      <c r="AW360">
        <f t="shared" si="39"/>
        <v>3</v>
      </c>
      <c r="AX360">
        <f t="shared" si="40"/>
        <v>2</v>
      </c>
      <c r="AY360">
        <f t="shared" si="41"/>
        <v>0</v>
      </c>
      <c r="AZ360">
        <f t="shared" si="36"/>
        <v>3</v>
      </c>
    </row>
    <row r="361" spans="1:52" x14ac:dyDescent="0.2">
      <c r="A361">
        <v>360</v>
      </c>
      <c r="B361" t="s">
        <v>409</v>
      </c>
      <c r="C361">
        <v>0</v>
      </c>
      <c r="H361" t="s">
        <v>409</v>
      </c>
      <c r="I361" t="s">
        <v>45</v>
      </c>
      <c r="Q361" t="s">
        <v>409</v>
      </c>
      <c r="R361">
        <v>108.0467795</v>
      </c>
      <c r="S361">
        <v>6</v>
      </c>
      <c r="T361">
        <v>130</v>
      </c>
      <c r="V361">
        <v>0</v>
      </c>
      <c r="W361">
        <v>0</v>
      </c>
      <c r="X361" t="s">
        <v>409</v>
      </c>
      <c r="Y361">
        <v>-1</v>
      </c>
      <c r="Z361">
        <v>6</v>
      </c>
      <c r="AA361">
        <v>108.05</v>
      </c>
      <c r="AB361">
        <v>130</v>
      </c>
      <c r="AC361">
        <v>29.5</v>
      </c>
      <c r="AD361">
        <v>0.33</v>
      </c>
      <c r="AE361">
        <v>0.01</v>
      </c>
      <c r="AF361">
        <v>0.11</v>
      </c>
      <c r="AG361">
        <v>1</v>
      </c>
      <c r="AH361">
        <v>29.5</v>
      </c>
      <c r="AI361">
        <v>29.5</v>
      </c>
      <c r="AJ361">
        <v>29.5</v>
      </c>
      <c r="AK361">
        <v>0.33</v>
      </c>
      <c r="AL361">
        <v>0.33</v>
      </c>
      <c r="AM361">
        <v>0.33</v>
      </c>
      <c r="AN361">
        <v>0.01</v>
      </c>
      <c r="AO361">
        <v>0.01</v>
      </c>
      <c r="AP361">
        <v>0.01</v>
      </c>
      <c r="AQ361">
        <v>108.0467795</v>
      </c>
      <c r="AR361">
        <v>0</v>
      </c>
      <c r="AS361">
        <f>_xlfn.XLOOKUP(B361,InstallDate!$H$2:$H$389,InstallDate!$BE$2:$BE$389)</f>
        <v>1</v>
      </c>
      <c r="AT361">
        <f t="shared" si="37"/>
        <v>1</v>
      </c>
      <c r="AU361">
        <f t="shared" si="35"/>
        <v>0.2368907090660885</v>
      </c>
      <c r="AV361">
        <f t="shared" si="38"/>
        <v>0</v>
      </c>
      <c r="AW361">
        <f t="shared" si="39"/>
        <v>3</v>
      </c>
      <c r="AX361">
        <f t="shared" si="40"/>
        <v>2</v>
      </c>
      <c r="AY361">
        <f t="shared" si="41"/>
        <v>0</v>
      </c>
      <c r="AZ361">
        <f t="shared" si="36"/>
        <v>3</v>
      </c>
    </row>
    <row r="362" spans="1:52" x14ac:dyDescent="0.2">
      <c r="A362">
        <v>361</v>
      </c>
      <c r="B362" t="s">
        <v>410</v>
      </c>
      <c r="C362">
        <v>0</v>
      </c>
      <c r="H362" t="s">
        <v>410</v>
      </c>
      <c r="I362" t="s">
        <v>45</v>
      </c>
      <c r="Q362" t="s">
        <v>410</v>
      </c>
      <c r="R362">
        <v>261.9393925</v>
      </c>
      <c r="S362">
        <v>6</v>
      </c>
      <c r="T362">
        <v>130</v>
      </c>
      <c r="V362">
        <v>0</v>
      </c>
      <c r="W362">
        <v>0</v>
      </c>
      <c r="X362" t="s">
        <v>410</v>
      </c>
      <c r="Y362">
        <v>-1</v>
      </c>
      <c r="Z362">
        <v>6</v>
      </c>
      <c r="AA362">
        <v>261.94</v>
      </c>
      <c r="AB362">
        <v>130</v>
      </c>
      <c r="AC362">
        <v>29.5</v>
      </c>
      <c r="AD362">
        <v>0.33</v>
      </c>
      <c r="AE362">
        <v>0.03</v>
      </c>
      <c r="AF362">
        <v>0.11</v>
      </c>
      <c r="AG362">
        <v>1</v>
      </c>
      <c r="AH362">
        <v>29.5</v>
      </c>
      <c r="AI362">
        <v>29.5</v>
      </c>
      <c r="AJ362">
        <v>29.5</v>
      </c>
      <c r="AK362">
        <v>0.33</v>
      </c>
      <c r="AL362">
        <v>0.33</v>
      </c>
      <c r="AM362">
        <v>0.33</v>
      </c>
      <c r="AN362">
        <v>0.03</v>
      </c>
      <c r="AO362">
        <v>0.03</v>
      </c>
      <c r="AP362">
        <v>0.03</v>
      </c>
      <c r="AQ362">
        <v>261.9393925</v>
      </c>
      <c r="AR362">
        <v>0</v>
      </c>
      <c r="AS362">
        <f>_xlfn.XLOOKUP(B362,InstallDate!$H$2:$H$389,InstallDate!$BE$2:$BE$389)</f>
        <v>1</v>
      </c>
      <c r="AT362">
        <f t="shared" si="37"/>
        <v>1</v>
      </c>
      <c r="AU362">
        <f t="shared" si="35"/>
        <v>0.2368907090660885</v>
      </c>
      <c r="AV362">
        <f t="shared" si="38"/>
        <v>0</v>
      </c>
      <c r="AW362">
        <f t="shared" si="39"/>
        <v>3</v>
      </c>
      <c r="AX362">
        <f t="shared" si="40"/>
        <v>2</v>
      </c>
      <c r="AY362">
        <f t="shared" si="41"/>
        <v>0</v>
      </c>
      <c r="AZ362">
        <f t="shared" si="36"/>
        <v>3</v>
      </c>
    </row>
    <row r="363" spans="1:52" x14ac:dyDescent="0.2">
      <c r="A363">
        <v>362</v>
      </c>
      <c r="B363" t="s">
        <v>411</v>
      </c>
      <c r="C363">
        <v>0</v>
      </c>
      <c r="H363" t="s">
        <v>411</v>
      </c>
      <c r="I363" t="s">
        <v>45</v>
      </c>
      <c r="Q363" t="s">
        <v>411</v>
      </c>
      <c r="R363">
        <v>603.04106590000004</v>
      </c>
      <c r="S363">
        <v>6</v>
      </c>
      <c r="T363">
        <v>130</v>
      </c>
      <c r="V363">
        <v>0</v>
      </c>
      <c r="W363">
        <v>0</v>
      </c>
      <c r="X363" t="s">
        <v>411</v>
      </c>
      <c r="Y363">
        <v>-1</v>
      </c>
      <c r="Z363">
        <v>6</v>
      </c>
      <c r="AA363">
        <v>603.04</v>
      </c>
      <c r="AB363">
        <v>130</v>
      </c>
      <c r="AC363">
        <v>29.5</v>
      </c>
      <c r="AD363">
        <v>0.33</v>
      </c>
      <c r="AE363">
        <v>7.0000000000000007E-2</v>
      </c>
      <c r="AF363">
        <v>0.11</v>
      </c>
      <c r="AG363">
        <v>1</v>
      </c>
      <c r="AH363">
        <v>29.5</v>
      </c>
      <c r="AI363">
        <v>29.5</v>
      </c>
      <c r="AJ363">
        <v>29.5</v>
      </c>
      <c r="AK363">
        <v>0.33</v>
      </c>
      <c r="AL363">
        <v>0.33</v>
      </c>
      <c r="AM363">
        <v>0.33</v>
      </c>
      <c r="AN363">
        <v>7.0000000000000007E-2</v>
      </c>
      <c r="AO363">
        <v>7.0000000000000007E-2</v>
      </c>
      <c r="AP363">
        <v>7.0000000000000007E-2</v>
      </c>
      <c r="AQ363">
        <v>603.04106590000004</v>
      </c>
      <c r="AR363">
        <v>0</v>
      </c>
      <c r="AS363">
        <f>_xlfn.XLOOKUP(B363,InstallDate!$H$2:$H$389,InstallDate!$BE$2:$BE$389)</f>
        <v>1</v>
      </c>
      <c r="AT363">
        <f t="shared" si="37"/>
        <v>1</v>
      </c>
      <c r="AU363">
        <f t="shared" si="35"/>
        <v>0.2368907090660885</v>
      </c>
      <c r="AV363">
        <f t="shared" si="38"/>
        <v>0</v>
      </c>
      <c r="AW363">
        <f t="shared" si="39"/>
        <v>3</v>
      </c>
      <c r="AX363">
        <f t="shared" si="40"/>
        <v>2</v>
      </c>
      <c r="AY363">
        <f t="shared" si="41"/>
        <v>0</v>
      </c>
      <c r="AZ363">
        <f t="shared" si="36"/>
        <v>3</v>
      </c>
    </row>
    <row r="364" spans="1:52" x14ac:dyDescent="0.2">
      <c r="A364">
        <v>363</v>
      </c>
      <c r="B364" t="s">
        <v>412</v>
      </c>
      <c r="C364">
        <v>0</v>
      </c>
      <c r="H364" t="s">
        <v>412</v>
      </c>
      <c r="I364" t="s">
        <v>45</v>
      </c>
      <c r="Q364" t="s">
        <v>412</v>
      </c>
      <c r="R364">
        <v>2548.4465599999999</v>
      </c>
      <c r="S364">
        <v>6</v>
      </c>
      <c r="T364">
        <v>130</v>
      </c>
      <c r="V364">
        <v>0</v>
      </c>
      <c r="W364">
        <v>0</v>
      </c>
      <c r="X364" t="s">
        <v>412</v>
      </c>
      <c r="Y364">
        <v>-1</v>
      </c>
      <c r="Z364">
        <v>6</v>
      </c>
      <c r="AA364">
        <v>2548.4499999999998</v>
      </c>
      <c r="AB364">
        <v>130</v>
      </c>
      <c r="AC364">
        <v>3.69</v>
      </c>
      <c r="AD364">
        <v>0.04</v>
      </c>
      <c r="AE364">
        <v>0.01</v>
      </c>
      <c r="AF364">
        <v>0</v>
      </c>
      <c r="AG364">
        <v>1</v>
      </c>
      <c r="AH364">
        <v>3.69</v>
      </c>
      <c r="AI364">
        <v>3.69</v>
      </c>
      <c r="AJ364">
        <v>3.69</v>
      </c>
      <c r="AK364">
        <v>0.04</v>
      </c>
      <c r="AL364">
        <v>0.04</v>
      </c>
      <c r="AM364">
        <v>0.04</v>
      </c>
      <c r="AN364">
        <v>0.01</v>
      </c>
      <c r="AO364">
        <v>0.01</v>
      </c>
      <c r="AP364">
        <v>0.01</v>
      </c>
      <c r="AQ364">
        <v>2548.4465599999999</v>
      </c>
      <c r="AR364">
        <v>0</v>
      </c>
      <c r="AS364">
        <f>_xlfn.XLOOKUP(B364,InstallDate!$H$2:$H$389,InstallDate!$BE$2:$BE$389)</f>
        <v>0</v>
      </c>
      <c r="AT364">
        <f t="shared" si="37"/>
        <v>0</v>
      </c>
      <c r="AU364">
        <f t="shared" si="35"/>
        <v>2.9631414117080222E-2</v>
      </c>
      <c r="AV364">
        <f t="shared" si="38"/>
        <v>0</v>
      </c>
      <c r="AW364">
        <f t="shared" si="39"/>
        <v>0</v>
      </c>
      <c r="AX364">
        <f t="shared" si="40"/>
        <v>0</v>
      </c>
      <c r="AY364">
        <f t="shared" si="41"/>
        <v>1</v>
      </c>
      <c r="AZ364">
        <f t="shared" si="36"/>
        <v>1</v>
      </c>
    </row>
    <row r="365" spans="1:52" x14ac:dyDescent="0.2">
      <c r="A365">
        <v>364</v>
      </c>
      <c r="B365" t="s">
        <v>413</v>
      </c>
      <c r="C365">
        <v>0</v>
      </c>
      <c r="H365" t="s">
        <v>413</v>
      </c>
      <c r="I365" t="s">
        <v>45</v>
      </c>
      <c r="Q365" t="s">
        <v>413</v>
      </c>
      <c r="R365">
        <v>4148.8420809999998</v>
      </c>
      <c r="S365">
        <v>6</v>
      </c>
      <c r="T365">
        <v>130</v>
      </c>
      <c r="V365">
        <v>0</v>
      </c>
      <c r="W365">
        <v>0</v>
      </c>
      <c r="X365" t="s">
        <v>413</v>
      </c>
      <c r="Y365">
        <v>-1</v>
      </c>
      <c r="Z365">
        <v>6</v>
      </c>
      <c r="AA365">
        <v>4148.84</v>
      </c>
      <c r="AB365">
        <v>130</v>
      </c>
      <c r="AC365">
        <v>15.47</v>
      </c>
      <c r="AD365">
        <v>0.18</v>
      </c>
      <c r="AE365">
        <v>0.14000000000000001</v>
      </c>
      <c r="AF365">
        <v>0.03</v>
      </c>
      <c r="AG365">
        <v>1</v>
      </c>
      <c r="AH365">
        <v>15.47</v>
      </c>
      <c r="AI365">
        <v>15.47</v>
      </c>
      <c r="AJ365">
        <v>15.47</v>
      </c>
      <c r="AK365">
        <v>0.18</v>
      </c>
      <c r="AL365">
        <v>0.18</v>
      </c>
      <c r="AM365">
        <v>0.18</v>
      </c>
      <c r="AN365">
        <v>0.14000000000000001</v>
      </c>
      <c r="AO365">
        <v>0.14000000000000001</v>
      </c>
      <c r="AP365">
        <v>0.14000000000000001</v>
      </c>
      <c r="AQ365">
        <v>4148.8420809999998</v>
      </c>
      <c r="AR365">
        <v>0</v>
      </c>
      <c r="AS365">
        <f>_xlfn.XLOOKUP(B365,InstallDate!$H$2:$H$389,InstallDate!$BE$2:$BE$389)</f>
        <v>1</v>
      </c>
      <c r="AT365">
        <f t="shared" si="37"/>
        <v>1</v>
      </c>
      <c r="AU365">
        <f t="shared" si="35"/>
        <v>0.12422709387296234</v>
      </c>
      <c r="AV365">
        <f t="shared" si="38"/>
        <v>0</v>
      </c>
      <c r="AW365">
        <f t="shared" si="39"/>
        <v>0</v>
      </c>
      <c r="AX365">
        <f t="shared" si="40"/>
        <v>2</v>
      </c>
      <c r="AY365">
        <f t="shared" si="41"/>
        <v>0</v>
      </c>
      <c r="AZ365">
        <f t="shared" si="36"/>
        <v>2</v>
      </c>
    </row>
    <row r="366" spans="1:52" x14ac:dyDescent="0.2">
      <c r="A366">
        <v>365</v>
      </c>
      <c r="B366" t="s">
        <v>414</v>
      </c>
      <c r="C366">
        <v>0</v>
      </c>
      <c r="H366" t="s">
        <v>414</v>
      </c>
      <c r="I366" t="s">
        <v>45</v>
      </c>
      <c r="Q366" t="s">
        <v>414</v>
      </c>
      <c r="R366">
        <v>403.30396100000002</v>
      </c>
      <c r="S366">
        <v>6</v>
      </c>
      <c r="T366">
        <v>130</v>
      </c>
      <c r="V366">
        <v>0</v>
      </c>
      <c r="W366">
        <v>0</v>
      </c>
      <c r="X366" t="s">
        <v>414</v>
      </c>
      <c r="Y366">
        <v>-1</v>
      </c>
      <c r="Z366">
        <v>6</v>
      </c>
      <c r="AA366">
        <v>403.3</v>
      </c>
      <c r="AB366">
        <v>130</v>
      </c>
      <c r="AC366">
        <v>15.47</v>
      </c>
      <c r="AD366">
        <v>0.18</v>
      </c>
      <c r="AE366">
        <v>0.01</v>
      </c>
      <c r="AF366">
        <v>0.03</v>
      </c>
      <c r="AG366">
        <v>1</v>
      </c>
      <c r="AH366">
        <v>15.47</v>
      </c>
      <c r="AI366">
        <v>15.47</v>
      </c>
      <c r="AJ366">
        <v>15.47</v>
      </c>
      <c r="AK366">
        <v>0.18</v>
      </c>
      <c r="AL366">
        <v>0.18</v>
      </c>
      <c r="AM366">
        <v>0.18</v>
      </c>
      <c r="AN366">
        <v>0.01</v>
      </c>
      <c r="AO366">
        <v>0.01</v>
      </c>
      <c r="AP366">
        <v>0.01</v>
      </c>
      <c r="AQ366">
        <v>403.30396100000002</v>
      </c>
      <c r="AR366">
        <v>0</v>
      </c>
      <c r="AS366">
        <f>_xlfn.XLOOKUP(B366,InstallDate!$H$2:$H$389,InstallDate!$BE$2:$BE$389)</f>
        <v>1</v>
      </c>
      <c r="AT366">
        <f t="shared" si="37"/>
        <v>1</v>
      </c>
      <c r="AU366">
        <f t="shared" si="35"/>
        <v>0.12422709387296234</v>
      </c>
      <c r="AV366">
        <f t="shared" si="38"/>
        <v>0</v>
      </c>
      <c r="AW366">
        <f t="shared" si="39"/>
        <v>0</v>
      </c>
      <c r="AX366">
        <f t="shared" si="40"/>
        <v>2</v>
      </c>
      <c r="AY366">
        <f t="shared" si="41"/>
        <v>0</v>
      </c>
      <c r="AZ366">
        <f t="shared" si="36"/>
        <v>2</v>
      </c>
    </row>
    <row r="367" spans="1:52" x14ac:dyDescent="0.2">
      <c r="A367">
        <v>366</v>
      </c>
      <c r="B367" t="s">
        <v>415</v>
      </c>
      <c r="C367">
        <v>0</v>
      </c>
      <c r="H367" t="s">
        <v>415</v>
      </c>
      <c r="I367" t="s">
        <v>45</v>
      </c>
      <c r="Q367" t="s">
        <v>415</v>
      </c>
      <c r="R367">
        <v>2366.1774409999998</v>
      </c>
      <c r="S367">
        <v>6</v>
      </c>
      <c r="T367">
        <v>130</v>
      </c>
      <c r="V367">
        <v>0</v>
      </c>
      <c r="W367">
        <v>0</v>
      </c>
      <c r="X367" t="s">
        <v>415</v>
      </c>
      <c r="Y367">
        <v>1</v>
      </c>
      <c r="Z367">
        <v>6</v>
      </c>
      <c r="AA367">
        <v>2366.1799999999998</v>
      </c>
      <c r="AB367">
        <v>130</v>
      </c>
      <c r="AC367">
        <v>21.2</v>
      </c>
      <c r="AD367">
        <v>0.24</v>
      </c>
      <c r="AE367">
        <v>0.14000000000000001</v>
      </c>
      <c r="AF367">
        <v>0.06</v>
      </c>
      <c r="AG367">
        <v>1</v>
      </c>
      <c r="AH367">
        <v>21.2</v>
      </c>
      <c r="AI367">
        <v>21.2</v>
      </c>
      <c r="AJ367">
        <v>21.2</v>
      </c>
      <c r="AK367">
        <v>0.24</v>
      </c>
      <c r="AL367">
        <v>0.24</v>
      </c>
      <c r="AM367">
        <v>0.24</v>
      </c>
      <c r="AN367">
        <v>0.14000000000000001</v>
      </c>
      <c r="AO367">
        <v>0.14000000000000001</v>
      </c>
      <c r="AP367">
        <v>0.14000000000000001</v>
      </c>
      <c r="AQ367">
        <v>2366.1774409999998</v>
      </c>
      <c r="AR367">
        <v>1</v>
      </c>
      <c r="AS367">
        <f>_xlfn.XLOOKUP(B367,InstallDate!$H$2:$H$389,InstallDate!$BE$2:$BE$389)</f>
        <v>1</v>
      </c>
      <c r="AT367">
        <f t="shared" si="37"/>
        <v>1</v>
      </c>
      <c r="AU367">
        <f t="shared" si="35"/>
        <v>0.17024010278647714</v>
      </c>
      <c r="AV367">
        <f t="shared" si="38"/>
        <v>0</v>
      </c>
      <c r="AW367">
        <f t="shared" si="39"/>
        <v>0</v>
      </c>
      <c r="AX367">
        <f t="shared" si="40"/>
        <v>2</v>
      </c>
      <c r="AY367">
        <f t="shared" si="41"/>
        <v>0</v>
      </c>
      <c r="AZ367">
        <f t="shared" si="36"/>
        <v>2</v>
      </c>
    </row>
    <row r="368" spans="1:52" x14ac:dyDescent="0.2">
      <c r="A368">
        <v>367</v>
      </c>
      <c r="B368" t="s">
        <v>416</v>
      </c>
      <c r="C368">
        <v>0</v>
      </c>
      <c r="H368" t="s">
        <v>416</v>
      </c>
      <c r="I368" t="s">
        <v>45</v>
      </c>
      <c r="Q368" t="s">
        <v>416</v>
      </c>
      <c r="R368">
        <v>554.19152880000001</v>
      </c>
      <c r="S368">
        <v>6</v>
      </c>
      <c r="T368">
        <v>130</v>
      </c>
      <c r="V368">
        <v>0</v>
      </c>
      <c r="W368">
        <v>0</v>
      </c>
      <c r="X368" t="s">
        <v>416</v>
      </c>
      <c r="Y368">
        <v>1</v>
      </c>
      <c r="Z368">
        <v>6</v>
      </c>
      <c r="AA368">
        <v>554.19000000000005</v>
      </c>
      <c r="AB368">
        <v>130</v>
      </c>
      <c r="AC368">
        <v>21.2</v>
      </c>
      <c r="AD368">
        <v>0.24</v>
      </c>
      <c r="AE368">
        <v>0.03</v>
      </c>
      <c r="AF368">
        <v>0.06</v>
      </c>
      <c r="AG368">
        <v>1</v>
      </c>
      <c r="AH368">
        <v>21.2</v>
      </c>
      <c r="AI368">
        <v>21.2</v>
      </c>
      <c r="AJ368">
        <v>21.2</v>
      </c>
      <c r="AK368">
        <v>0.24</v>
      </c>
      <c r="AL368">
        <v>0.24</v>
      </c>
      <c r="AM368">
        <v>0.24</v>
      </c>
      <c r="AN368">
        <v>0.03</v>
      </c>
      <c r="AO368">
        <v>0.03</v>
      </c>
      <c r="AP368">
        <v>0.03</v>
      </c>
      <c r="AQ368">
        <v>554.19152880000001</v>
      </c>
      <c r="AR368">
        <v>1</v>
      </c>
      <c r="AS368">
        <f>_xlfn.XLOOKUP(B368,InstallDate!$H$2:$H$389,InstallDate!$BE$2:$BE$389)</f>
        <v>0</v>
      </c>
      <c r="AT368">
        <f t="shared" si="37"/>
        <v>1</v>
      </c>
      <c r="AU368">
        <f t="shared" si="35"/>
        <v>0.17024010278647714</v>
      </c>
      <c r="AV368">
        <f t="shared" si="38"/>
        <v>0</v>
      </c>
      <c r="AW368">
        <f t="shared" si="39"/>
        <v>0</v>
      </c>
      <c r="AX368">
        <f t="shared" si="40"/>
        <v>2</v>
      </c>
      <c r="AY368">
        <f t="shared" si="41"/>
        <v>0</v>
      </c>
      <c r="AZ368">
        <f t="shared" si="36"/>
        <v>2</v>
      </c>
    </row>
    <row r="369" spans="1:52" x14ac:dyDescent="0.2">
      <c r="A369">
        <v>368</v>
      </c>
      <c r="B369" t="s">
        <v>417</v>
      </c>
      <c r="C369">
        <v>0</v>
      </c>
      <c r="H369" t="s">
        <v>417</v>
      </c>
      <c r="I369" t="s">
        <v>45</v>
      </c>
      <c r="Q369" t="s">
        <v>417</v>
      </c>
      <c r="R369">
        <v>378.22383919999999</v>
      </c>
      <c r="S369">
        <v>6</v>
      </c>
      <c r="T369">
        <v>130</v>
      </c>
      <c r="V369">
        <v>0</v>
      </c>
      <c r="W369">
        <v>0</v>
      </c>
      <c r="X369" t="s">
        <v>417</v>
      </c>
      <c r="Y369">
        <v>0</v>
      </c>
      <c r="Z369">
        <v>6</v>
      </c>
      <c r="AA369">
        <v>378.22</v>
      </c>
      <c r="AB369">
        <v>130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378.22383919999999</v>
      </c>
      <c r="AR369">
        <v>0</v>
      </c>
      <c r="AS369">
        <f>_xlfn.XLOOKUP(B369,InstallDate!$H$2:$H$389,InstallDate!$BE$2:$BE$389)</f>
        <v>1</v>
      </c>
      <c r="AT369">
        <f t="shared" si="37"/>
        <v>1</v>
      </c>
      <c r="AU369">
        <f t="shared" si="35"/>
        <v>0</v>
      </c>
      <c r="AV369">
        <f t="shared" si="38"/>
        <v>0</v>
      </c>
      <c r="AW369">
        <f t="shared" si="39"/>
        <v>0</v>
      </c>
      <c r="AX369">
        <f t="shared" si="40"/>
        <v>0</v>
      </c>
      <c r="AY369">
        <f t="shared" si="41"/>
        <v>1</v>
      </c>
      <c r="AZ369">
        <f t="shared" si="36"/>
        <v>2</v>
      </c>
    </row>
    <row r="370" spans="1:52" x14ac:dyDescent="0.2">
      <c r="A370">
        <v>369</v>
      </c>
      <c r="B370" t="s">
        <v>418</v>
      </c>
      <c r="C370">
        <v>0</v>
      </c>
      <c r="H370" t="s">
        <v>418</v>
      </c>
      <c r="I370" t="s">
        <v>45</v>
      </c>
      <c r="Q370" t="s">
        <v>418</v>
      </c>
      <c r="R370">
        <v>1513.8028179999999</v>
      </c>
      <c r="S370">
        <v>6</v>
      </c>
      <c r="T370">
        <v>130</v>
      </c>
      <c r="V370">
        <v>0</v>
      </c>
      <c r="W370">
        <v>0</v>
      </c>
      <c r="X370" t="s">
        <v>418</v>
      </c>
      <c r="Y370">
        <v>-1</v>
      </c>
      <c r="Z370">
        <v>6</v>
      </c>
      <c r="AA370">
        <v>1513.8</v>
      </c>
      <c r="AB370">
        <v>130</v>
      </c>
      <c r="AC370">
        <v>36.67</v>
      </c>
      <c r="AD370">
        <v>0.42</v>
      </c>
      <c r="AE370">
        <v>0.25</v>
      </c>
      <c r="AF370">
        <v>0.16</v>
      </c>
      <c r="AG370">
        <v>1</v>
      </c>
      <c r="AH370">
        <v>36.67</v>
      </c>
      <c r="AI370">
        <v>36.67</v>
      </c>
      <c r="AJ370">
        <v>36.67</v>
      </c>
      <c r="AK370">
        <v>0.42</v>
      </c>
      <c r="AL370">
        <v>0.42</v>
      </c>
      <c r="AM370">
        <v>0.42</v>
      </c>
      <c r="AN370">
        <v>0.25</v>
      </c>
      <c r="AO370">
        <v>0.25</v>
      </c>
      <c r="AP370">
        <v>0.25</v>
      </c>
      <c r="AQ370">
        <v>1513.8028179999999</v>
      </c>
      <c r="AR370">
        <v>0</v>
      </c>
      <c r="AS370">
        <f>_xlfn.XLOOKUP(B370,InstallDate!$H$2:$H$389,InstallDate!$BE$2:$BE$389)</f>
        <v>1</v>
      </c>
      <c r="AT370">
        <f t="shared" si="37"/>
        <v>1</v>
      </c>
      <c r="AU370">
        <f t="shared" si="35"/>
        <v>0.29446719665943949</v>
      </c>
      <c r="AV370">
        <f t="shared" si="38"/>
        <v>4</v>
      </c>
      <c r="AW370">
        <f t="shared" si="39"/>
        <v>3</v>
      </c>
      <c r="AX370">
        <f t="shared" si="40"/>
        <v>2</v>
      </c>
      <c r="AY370">
        <f t="shared" si="41"/>
        <v>0</v>
      </c>
      <c r="AZ370">
        <f t="shared" si="36"/>
        <v>3</v>
      </c>
    </row>
    <row r="371" spans="1:52" x14ac:dyDescent="0.2">
      <c r="A371">
        <v>370</v>
      </c>
      <c r="B371" t="s">
        <v>419</v>
      </c>
      <c r="C371">
        <v>0</v>
      </c>
      <c r="H371" t="s">
        <v>419</v>
      </c>
      <c r="I371" t="s">
        <v>45</v>
      </c>
      <c r="Q371" t="s">
        <v>419</v>
      </c>
      <c r="R371">
        <v>846.72602229999995</v>
      </c>
      <c r="S371">
        <v>6</v>
      </c>
      <c r="T371">
        <v>130</v>
      </c>
      <c r="V371">
        <v>0</v>
      </c>
      <c r="W371">
        <v>0</v>
      </c>
      <c r="X371" t="s">
        <v>419</v>
      </c>
      <c r="Y371">
        <v>0</v>
      </c>
      <c r="Z371">
        <v>6</v>
      </c>
      <c r="AA371">
        <v>846.73</v>
      </c>
      <c r="AB371">
        <v>130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846.72602229999995</v>
      </c>
      <c r="AR371">
        <v>0</v>
      </c>
      <c r="AS371">
        <f>_xlfn.XLOOKUP(B371,InstallDate!$H$2:$H$389,InstallDate!$BE$2:$BE$389)</f>
        <v>1</v>
      </c>
      <c r="AT371">
        <f t="shared" si="37"/>
        <v>1</v>
      </c>
      <c r="AU371">
        <f t="shared" si="35"/>
        <v>0</v>
      </c>
      <c r="AV371">
        <f t="shared" si="38"/>
        <v>0</v>
      </c>
      <c r="AW371">
        <f t="shared" si="39"/>
        <v>0</v>
      </c>
      <c r="AX371">
        <f t="shared" si="40"/>
        <v>0</v>
      </c>
      <c r="AY371">
        <f t="shared" si="41"/>
        <v>1</v>
      </c>
      <c r="AZ371">
        <f t="shared" si="36"/>
        <v>2</v>
      </c>
    </row>
    <row r="372" spans="1:52" x14ac:dyDescent="0.2">
      <c r="A372">
        <v>371</v>
      </c>
      <c r="B372" t="s">
        <v>420</v>
      </c>
      <c r="C372">
        <v>0</v>
      </c>
      <c r="H372" t="s">
        <v>420</v>
      </c>
      <c r="I372" t="s">
        <v>45</v>
      </c>
      <c r="Q372" t="s">
        <v>420</v>
      </c>
      <c r="R372">
        <v>547.92302519999998</v>
      </c>
      <c r="S372">
        <v>6</v>
      </c>
      <c r="T372">
        <v>130</v>
      </c>
      <c r="V372">
        <v>0</v>
      </c>
      <c r="W372">
        <v>0</v>
      </c>
      <c r="X372" t="s">
        <v>420</v>
      </c>
      <c r="Y372">
        <v>0</v>
      </c>
      <c r="Z372">
        <v>6</v>
      </c>
      <c r="AA372">
        <v>547.91999999999996</v>
      </c>
      <c r="AB372">
        <v>130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547.92302519999998</v>
      </c>
      <c r="AR372">
        <v>0</v>
      </c>
      <c r="AS372">
        <f>_xlfn.XLOOKUP(B372,InstallDate!$H$2:$H$389,InstallDate!$BE$2:$BE$389)</f>
        <v>1</v>
      </c>
      <c r="AT372">
        <f t="shared" si="37"/>
        <v>1</v>
      </c>
      <c r="AU372">
        <f t="shared" si="35"/>
        <v>0</v>
      </c>
      <c r="AV372">
        <f t="shared" si="38"/>
        <v>0</v>
      </c>
      <c r="AW372">
        <f t="shared" si="39"/>
        <v>0</v>
      </c>
      <c r="AX372">
        <f t="shared" si="40"/>
        <v>0</v>
      </c>
      <c r="AY372">
        <f t="shared" si="41"/>
        <v>1</v>
      </c>
      <c r="AZ372">
        <f t="shared" si="36"/>
        <v>2</v>
      </c>
    </row>
    <row r="373" spans="1:52" x14ac:dyDescent="0.2">
      <c r="A373">
        <v>372</v>
      </c>
      <c r="B373" t="s">
        <v>421</v>
      </c>
      <c r="C373">
        <v>0</v>
      </c>
      <c r="H373" t="s">
        <v>421</v>
      </c>
      <c r="I373" t="s">
        <v>45</v>
      </c>
      <c r="Q373" t="s">
        <v>421</v>
      </c>
      <c r="R373">
        <v>178.69563529999999</v>
      </c>
      <c r="S373">
        <v>6</v>
      </c>
      <c r="T373">
        <v>130</v>
      </c>
      <c r="V373">
        <v>0</v>
      </c>
      <c r="W373">
        <v>0</v>
      </c>
      <c r="X373" t="s">
        <v>421</v>
      </c>
      <c r="Y373">
        <v>-1</v>
      </c>
      <c r="Z373">
        <v>6</v>
      </c>
      <c r="AA373">
        <v>178.7</v>
      </c>
      <c r="AB373">
        <v>130</v>
      </c>
      <c r="AC373">
        <v>25.81</v>
      </c>
      <c r="AD373">
        <v>0.28999999999999998</v>
      </c>
      <c r="AE373">
        <v>0.02</v>
      </c>
      <c r="AF373">
        <v>0.09</v>
      </c>
      <c r="AG373">
        <v>1</v>
      </c>
      <c r="AH373">
        <v>25.81</v>
      </c>
      <c r="AI373">
        <v>25.81</v>
      </c>
      <c r="AJ373">
        <v>25.81</v>
      </c>
      <c r="AK373">
        <v>0.28999999999999998</v>
      </c>
      <c r="AL373">
        <v>0.28999999999999998</v>
      </c>
      <c r="AM373">
        <v>0.28999999999999998</v>
      </c>
      <c r="AN373">
        <v>0.02</v>
      </c>
      <c r="AO373">
        <v>0.02</v>
      </c>
      <c r="AP373">
        <v>0.02</v>
      </c>
      <c r="AQ373">
        <v>178.69563529999999</v>
      </c>
      <c r="AR373">
        <v>0</v>
      </c>
      <c r="AS373">
        <f>_xlfn.XLOOKUP(B373,InstallDate!$H$2:$H$389,InstallDate!$BE$2:$BE$389)</f>
        <v>0</v>
      </c>
      <c r="AT373">
        <f t="shared" si="37"/>
        <v>0</v>
      </c>
      <c r="AU373">
        <f t="shared" si="35"/>
        <v>0.20725929494900827</v>
      </c>
      <c r="AV373">
        <f t="shared" si="38"/>
        <v>0</v>
      </c>
      <c r="AW373">
        <f t="shared" si="39"/>
        <v>3</v>
      </c>
      <c r="AX373">
        <f t="shared" si="40"/>
        <v>2</v>
      </c>
      <c r="AY373">
        <f t="shared" si="41"/>
        <v>0</v>
      </c>
      <c r="AZ373">
        <f t="shared" si="36"/>
        <v>2</v>
      </c>
    </row>
    <row r="374" spans="1:52" x14ac:dyDescent="0.2">
      <c r="A374">
        <v>373</v>
      </c>
      <c r="B374" t="s">
        <v>422</v>
      </c>
      <c r="C374">
        <v>0</v>
      </c>
      <c r="H374" t="s">
        <v>422</v>
      </c>
      <c r="I374" t="s">
        <v>45</v>
      </c>
      <c r="Q374" t="s">
        <v>422</v>
      </c>
      <c r="R374">
        <v>5347.6092939999999</v>
      </c>
      <c r="S374">
        <v>6</v>
      </c>
      <c r="T374">
        <v>130</v>
      </c>
      <c r="V374">
        <v>0</v>
      </c>
      <c r="W374">
        <v>0</v>
      </c>
      <c r="X374" t="s">
        <v>422</v>
      </c>
      <c r="Y374">
        <v>-1</v>
      </c>
      <c r="Z374">
        <v>6</v>
      </c>
      <c r="AA374">
        <v>5347.61</v>
      </c>
      <c r="AB374">
        <v>130</v>
      </c>
      <c r="AC374">
        <v>26.37</v>
      </c>
      <c r="AD374">
        <v>0.3</v>
      </c>
      <c r="AE374">
        <v>0.47</v>
      </c>
      <c r="AF374">
        <v>0.09</v>
      </c>
      <c r="AG374">
        <v>1</v>
      </c>
      <c r="AH374">
        <v>26.37</v>
      </c>
      <c r="AI374">
        <v>26.37</v>
      </c>
      <c r="AJ374">
        <v>26.37</v>
      </c>
      <c r="AK374">
        <v>0.3</v>
      </c>
      <c r="AL374">
        <v>0.3</v>
      </c>
      <c r="AM374">
        <v>0.3</v>
      </c>
      <c r="AN374">
        <v>0.47</v>
      </c>
      <c r="AO374">
        <v>0.47</v>
      </c>
      <c r="AP374">
        <v>0.47</v>
      </c>
      <c r="AQ374">
        <v>5347.6092939999999</v>
      </c>
      <c r="AR374">
        <v>0</v>
      </c>
      <c r="AS374">
        <f>_xlfn.XLOOKUP(B374,InstallDate!$H$2:$H$389,InstallDate!$BE$2:$BE$389)</f>
        <v>1</v>
      </c>
      <c r="AT374">
        <f t="shared" si="37"/>
        <v>1</v>
      </c>
      <c r="AU374">
        <f t="shared" si="35"/>
        <v>0.21175620332450013</v>
      </c>
      <c r="AV374">
        <f t="shared" si="38"/>
        <v>0</v>
      </c>
      <c r="AW374">
        <f t="shared" si="39"/>
        <v>3</v>
      </c>
      <c r="AX374">
        <f t="shared" si="40"/>
        <v>2</v>
      </c>
      <c r="AY374">
        <f t="shared" si="41"/>
        <v>0</v>
      </c>
      <c r="AZ374">
        <f t="shared" si="36"/>
        <v>3</v>
      </c>
    </row>
    <row r="375" spans="1:52" x14ac:dyDescent="0.2">
      <c r="A375">
        <v>374</v>
      </c>
      <c r="B375" t="s">
        <v>423</v>
      </c>
      <c r="C375">
        <v>0</v>
      </c>
      <c r="H375" t="s">
        <v>423</v>
      </c>
      <c r="I375" t="s">
        <v>146</v>
      </c>
      <c r="Q375" t="s">
        <v>423</v>
      </c>
      <c r="R375">
        <v>439.05360209999998</v>
      </c>
      <c r="S375">
        <v>2</v>
      </c>
      <c r="T375">
        <v>130</v>
      </c>
      <c r="V375">
        <v>0</v>
      </c>
      <c r="W375">
        <v>0</v>
      </c>
      <c r="X375" t="s">
        <v>423</v>
      </c>
      <c r="Y375">
        <v>0</v>
      </c>
      <c r="Z375">
        <v>2</v>
      </c>
      <c r="AA375">
        <v>439.05</v>
      </c>
      <c r="AB375">
        <v>130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439.05360209999998</v>
      </c>
      <c r="AR375">
        <v>0</v>
      </c>
      <c r="AS375">
        <f>_xlfn.XLOOKUP(B375,InstallDate!$H$2:$H$389,InstallDate!$BE$2:$BE$389)</f>
        <v>0</v>
      </c>
      <c r="AT375">
        <f t="shared" si="37"/>
        <v>0</v>
      </c>
      <c r="AU375">
        <f t="shared" si="35"/>
        <v>0</v>
      </c>
      <c r="AV375">
        <f t="shared" si="38"/>
        <v>0</v>
      </c>
      <c r="AW375">
        <f t="shared" si="39"/>
        <v>0</v>
      </c>
      <c r="AX375">
        <f t="shared" si="40"/>
        <v>0</v>
      </c>
      <c r="AY375">
        <f t="shared" si="41"/>
        <v>1</v>
      </c>
      <c r="AZ375">
        <f t="shared" si="36"/>
        <v>1</v>
      </c>
    </row>
    <row r="376" spans="1:52" x14ac:dyDescent="0.2">
      <c r="A376">
        <v>375</v>
      </c>
      <c r="B376" t="s">
        <v>424</v>
      </c>
      <c r="C376">
        <v>0</v>
      </c>
      <c r="H376" t="s">
        <v>424</v>
      </c>
      <c r="I376" t="s">
        <v>45</v>
      </c>
      <c r="Q376" t="s">
        <v>424</v>
      </c>
      <c r="R376">
        <v>823.85138759999995</v>
      </c>
      <c r="S376">
        <v>6</v>
      </c>
      <c r="T376">
        <v>130</v>
      </c>
      <c r="V376">
        <v>0</v>
      </c>
      <c r="W376">
        <v>0</v>
      </c>
      <c r="X376" t="s">
        <v>424</v>
      </c>
      <c r="Y376">
        <v>0</v>
      </c>
      <c r="Z376">
        <v>6</v>
      </c>
      <c r="AA376">
        <v>823.85</v>
      </c>
      <c r="AB376">
        <v>130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823.85138759999995</v>
      </c>
      <c r="AR376">
        <v>0</v>
      </c>
      <c r="AS376">
        <f>_xlfn.XLOOKUP(B376,InstallDate!$H$2:$H$389,InstallDate!$BE$2:$BE$389)</f>
        <v>0</v>
      </c>
      <c r="AT376">
        <f t="shared" si="37"/>
        <v>0</v>
      </c>
      <c r="AU376">
        <f t="shared" si="35"/>
        <v>0</v>
      </c>
      <c r="AV376">
        <f t="shared" si="38"/>
        <v>0</v>
      </c>
      <c r="AW376">
        <f t="shared" si="39"/>
        <v>0</v>
      </c>
      <c r="AX376">
        <f t="shared" si="40"/>
        <v>0</v>
      </c>
      <c r="AY376">
        <f t="shared" si="41"/>
        <v>1</v>
      </c>
      <c r="AZ376">
        <f t="shared" si="36"/>
        <v>1</v>
      </c>
    </row>
    <row r="377" spans="1:52" x14ac:dyDescent="0.2">
      <c r="A377">
        <v>376</v>
      </c>
      <c r="B377" t="s">
        <v>425</v>
      </c>
      <c r="C377">
        <v>0</v>
      </c>
      <c r="H377" t="s">
        <v>425</v>
      </c>
      <c r="I377" t="s">
        <v>45</v>
      </c>
      <c r="Q377" t="s">
        <v>425</v>
      </c>
      <c r="R377">
        <v>197.0727972</v>
      </c>
      <c r="S377">
        <v>6</v>
      </c>
      <c r="T377">
        <v>130</v>
      </c>
      <c r="V377">
        <v>0</v>
      </c>
      <c r="W377">
        <v>0</v>
      </c>
      <c r="X377" t="s">
        <v>425</v>
      </c>
      <c r="Y377">
        <v>-1</v>
      </c>
      <c r="Z377">
        <v>6</v>
      </c>
      <c r="AA377">
        <v>197.07</v>
      </c>
      <c r="AB377">
        <v>130</v>
      </c>
      <c r="AC377">
        <v>7.45</v>
      </c>
      <c r="AD377">
        <v>0.08</v>
      </c>
      <c r="AE377">
        <v>0</v>
      </c>
      <c r="AF377">
        <v>0.01</v>
      </c>
      <c r="AG377">
        <v>1</v>
      </c>
      <c r="AH377">
        <v>7.45</v>
      </c>
      <c r="AI377">
        <v>7.45</v>
      </c>
      <c r="AJ377">
        <v>7.45</v>
      </c>
      <c r="AK377">
        <v>0.08</v>
      </c>
      <c r="AL377">
        <v>0.08</v>
      </c>
      <c r="AM377">
        <v>0.08</v>
      </c>
      <c r="AN377">
        <v>0</v>
      </c>
      <c r="AO377">
        <v>0</v>
      </c>
      <c r="AP377">
        <v>0</v>
      </c>
      <c r="AQ377">
        <v>197.0727972</v>
      </c>
      <c r="AR377">
        <v>0</v>
      </c>
      <c r="AS377">
        <f>_xlfn.XLOOKUP(B377,InstallDate!$H$2:$H$389,InstallDate!$BE$2:$BE$389)</f>
        <v>0</v>
      </c>
      <c r="AT377">
        <f t="shared" si="37"/>
        <v>0</v>
      </c>
      <c r="AU377">
        <f t="shared" si="35"/>
        <v>5.9824941781096923E-2</v>
      </c>
      <c r="AV377">
        <f t="shared" si="38"/>
        <v>0</v>
      </c>
      <c r="AW377">
        <f t="shared" si="39"/>
        <v>0</v>
      </c>
      <c r="AX377">
        <f t="shared" si="40"/>
        <v>2</v>
      </c>
      <c r="AY377">
        <f t="shared" si="41"/>
        <v>0</v>
      </c>
      <c r="AZ377">
        <f t="shared" si="36"/>
        <v>2</v>
      </c>
    </row>
    <row r="378" spans="1:52" x14ac:dyDescent="0.2">
      <c r="A378">
        <v>377</v>
      </c>
      <c r="B378" t="s">
        <v>426</v>
      </c>
      <c r="C378">
        <v>0</v>
      </c>
      <c r="H378" t="s">
        <v>426</v>
      </c>
      <c r="I378" t="s">
        <v>141</v>
      </c>
      <c r="Q378" t="s">
        <v>426</v>
      </c>
      <c r="R378">
        <v>433.90236490000001</v>
      </c>
      <c r="S378">
        <v>2</v>
      </c>
      <c r="T378">
        <v>130</v>
      </c>
      <c r="V378">
        <v>0</v>
      </c>
      <c r="W378">
        <v>0</v>
      </c>
      <c r="X378" t="s">
        <v>426</v>
      </c>
      <c r="Y378">
        <v>1</v>
      </c>
      <c r="Z378">
        <v>2</v>
      </c>
      <c r="AA378">
        <v>433.9</v>
      </c>
      <c r="AB378">
        <v>130</v>
      </c>
      <c r="AC378">
        <v>1.18</v>
      </c>
      <c r="AD378">
        <v>0.12</v>
      </c>
      <c r="AE378">
        <v>0.03</v>
      </c>
      <c r="AF378">
        <v>0.06</v>
      </c>
      <c r="AG378">
        <v>1</v>
      </c>
      <c r="AH378">
        <v>1.18</v>
      </c>
      <c r="AI378">
        <v>1.18</v>
      </c>
      <c r="AJ378">
        <v>1.18</v>
      </c>
      <c r="AK378">
        <v>0.12</v>
      </c>
      <c r="AL378">
        <v>0.12</v>
      </c>
      <c r="AM378">
        <v>0.12</v>
      </c>
      <c r="AN378">
        <v>0.03</v>
      </c>
      <c r="AO378">
        <v>0.03</v>
      </c>
      <c r="AP378">
        <v>0.03</v>
      </c>
      <c r="AQ378">
        <v>433.90236490000001</v>
      </c>
      <c r="AR378">
        <v>0</v>
      </c>
      <c r="AS378">
        <f>_xlfn.XLOOKUP(B378,InstallDate!$H$2:$H$389,InstallDate!$BE$2:$BE$389)</f>
        <v>0</v>
      </c>
      <c r="AT378">
        <f t="shared" si="37"/>
        <v>0</v>
      </c>
      <c r="AU378">
        <f t="shared" si="35"/>
        <v>9.4756283626435383E-3</v>
      </c>
      <c r="AV378">
        <f t="shared" si="38"/>
        <v>0</v>
      </c>
      <c r="AW378">
        <f t="shared" si="39"/>
        <v>0</v>
      </c>
      <c r="AX378">
        <f t="shared" si="40"/>
        <v>0</v>
      </c>
      <c r="AY378">
        <f t="shared" si="41"/>
        <v>1</v>
      </c>
      <c r="AZ378">
        <f t="shared" si="36"/>
        <v>1</v>
      </c>
    </row>
    <row r="379" spans="1:52" x14ac:dyDescent="0.2">
      <c r="A379">
        <v>378</v>
      </c>
      <c r="B379" t="s">
        <v>427</v>
      </c>
      <c r="C379">
        <v>0</v>
      </c>
      <c r="H379" t="s">
        <v>427</v>
      </c>
      <c r="I379" t="s">
        <v>141</v>
      </c>
      <c r="Q379" t="s">
        <v>427</v>
      </c>
      <c r="R379">
        <v>29.979922810000001</v>
      </c>
      <c r="S379">
        <v>2</v>
      </c>
      <c r="T379">
        <v>130</v>
      </c>
      <c r="V379">
        <v>0</v>
      </c>
      <c r="W379">
        <v>0</v>
      </c>
      <c r="X379" t="s">
        <v>427</v>
      </c>
      <c r="Y379">
        <v>-1</v>
      </c>
      <c r="Z379">
        <v>2</v>
      </c>
      <c r="AA379">
        <v>29.98</v>
      </c>
      <c r="AB379">
        <v>130</v>
      </c>
      <c r="AC379">
        <v>1.47</v>
      </c>
      <c r="AD379">
        <v>0.15</v>
      </c>
      <c r="AE379">
        <v>0</v>
      </c>
      <c r="AF379">
        <v>0.09</v>
      </c>
      <c r="AG379">
        <v>1</v>
      </c>
      <c r="AH379">
        <v>1.47</v>
      </c>
      <c r="AI379">
        <v>1.47</v>
      </c>
      <c r="AJ379">
        <v>1.47</v>
      </c>
      <c r="AK379">
        <v>0.15</v>
      </c>
      <c r="AL379">
        <v>0.15</v>
      </c>
      <c r="AM379">
        <v>0.15</v>
      </c>
      <c r="AN379">
        <v>0</v>
      </c>
      <c r="AO379">
        <v>0</v>
      </c>
      <c r="AP379">
        <v>0</v>
      </c>
      <c r="AQ379">
        <v>29.979922810000001</v>
      </c>
      <c r="AR379">
        <v>0</v>
      </c>
      <c r="AS379">
        <f>_xlfn.XLOOKUP(B379,InstallDate!$H$2:$H$389,InstallDate!$BE$2:$BE$389)</f>
        <v>0</v>
      </c>
      <c r="AT379">
        <f t="shared" si="37"/>
        <v>0</v>
      </c>
      <c r="AU379">
        <f t="shared" si="35"/>
        <v>1.1804384485666104E-2</v>
      </c>
      <c r="AV379">
        <f t="shared" si="38"/>
        <v>0</v>
      </c>
      <c r="AW379">
        <f t="shared" si="39"/>
        <v>0</v>
      </c>
      <c r="AX379">
        <f t="shared" si="40"/>
        <v>0</v>
      </c>
      <c r="AY379">
        <f t="shared" si="41"/>
        <v>1</v>
      </c>
      <c r="AZ379">
        <f t="shared" si="36"/>
        <v>1</v>
      </c>
    </row>
    <row r="380" spans="1:52" x14ac:dyDescent="0.2">
      <c r="A380">
        <v>379</v>
      </c>
      <c r="B380" t="s">
        <v>428</v>
      </c>
      <c r="C380">
        <v>0</v>
      </c>
      <c r="H380" t="s">
        <v>428</v>
      </c>
      <c r="I380" t="s">
        <v>141</v>
      </c>
      <c r="Q380" t="s">
        <v>428</v>
      </c>
      <c r="R380">
        <v>295.05927609999998</v>
      </c>
      <c r="S380">
        <v>2</v>
      </c>
      <c r="T380">
        <v>130</v>
      </c>
      <c r="V380">
        <v>0</v>
      </c>
      <c r="W380">
        <v>0</v>
      </c>
      <c r="X380" t="s">
        <v>428</v>
      </c>
      <c r="Y380">
        <v>-1</v>
      </c>
      <c r="Z380">
        <v>2</v>
      </c>
      <c r="AA380">
        <v>295.06</v>
      </c>
      <c r="AB380">
        <v>130</v>
      </c>
      <c r="AC380">
        <v>1.47</v>
      </c>
      <c r="AD380">
        <v>0.15</v>
      </c>
      <c r="AE380">
        <v>0.03</v>
      </c>
      <c r="AF380">
        <v>0.09</v>
      </c>
      <c r="AG380">
        <v>1</v>
      </c>
      <c r="AH380">
        <v>1.47</v>
      </c>
      <c r="AI380">
        <v>1.47</v>
      </c>
      <c r="AJ380">
        <v>1.47</v>
      </c>
      <c r="AK380">
        <v>0.15</v>
      </c>
      <c r="AL380">
        <v>0.15</v>
      </c>
      <c r="AM380">
        <v>0.15</v>
      </c>
      <c r="AN380">
        <v>0.03</v>
      </c>
      <c r="AO380">
        <v>0.03</v>
      </c>
      <c r="AP380">
        <v>0.03</v>
      </c>
      <c r="AQ380">
        <v>295.05927609999998</v>
      </c>
      <c r="AR380">
        <v>0</v>
      </c>
      <c r="AS380">
        <f>_xlfn.XLOOKUP(B380,InstallDate!$H$2:$H$389,InstallDate!$BE$2:$BE$389)</f>
        <v>0</v>
      </c>
      <c r="AT380">
        <f t="shared" si="37"/>
        <v>0</v>
      </c>
      <c r="AU380">
        <f t="shared" si="35"/>
        <v>1.1804384485666104E-2</v>
      </c>
      <c r="AV380">
        <f t="shared" si="38"/>
        <v>0</v>
      </c>
      <c r="AW380">
        <f t="shared" si="39"/>
        <v>0</v>
      </c>
      <c r="AX380">
        <f t="shared" si="40"/>
        <v>0</v>
      </c>
      <c r="AY380">
        <f t="shared" si="41"/>
        <v>1</v>
      </c>
      <c r="AZ380">
        <f t="shared" si="36"/>
        <v>1</v>
      </c>
    </row>
    <row r="381" spans="1:52" x14ac:dyDescent="0.2">
      <c r="A381">
        <v>380</v>
      </c>
      <c r="B381" t="s">
        <v>429</v>
      </c>
      <c r="C381">
        <v>0</v>
      </c>
      <c r="H381" t="s">
        <v>429</v>
      </c>
      <c r="I381" t="s">
        <v>141</v>
      </c>
      <c r="Q381" t="s">
        <v>429</v>
      </c>
      <c r="R381">
        <v>207.2291682</v>
      </c>
      <c r="S381">
        <v>2</v>
      </c>
      <c r="T381">
        <v>130</v>
      </c>
      <c r="V381">
        <v>0</v>
      </c>
      <c r="W381">
        <v>0</v>
      </c>
      <c r="X381" t="s">
        <v>429</v>
      </c>
      <c r="Y381">
        <v>1</v>
      </c>
      <c r="Z381">
        <v>2</v>
      </c>
      <c r="AA381">
        <v>207.23</v>
      </c>
      <c r="AB381">
        <v>130</v>
      </c>
      <c r="AC381">
        <v>1.8</v>
      </c>
      <c r="AD381">
        <v>0.18</v>
      </c>
      <c r="AE381">
        <v>0.03</v>
      </c>
      <c r="AF381">
        <v>0.13</v>
      </c>
      <c r="AG381">
        <v>1</v>
      </c>
      <c r="AH381">
        <v>1.8</v>
      </c>
      <c r="AI381">
        <v>1.8</v>
      </c>
      <c r="AJ381">
        <v>1.8</v>
      </c>
      <c r="AK381">
        <v>0.18</v>
      </c>
      <c r="AL381">
        <v>0.18</v>
      </c>
      <c r="AM381">
        <v>0.18</v>
      </c>
      <c r="AN381">
        <v>0.03</v>
      </c>
      <c r="AO381">
        <v>0.03</v>
      </c>
      <c r="AP381">
        <v>0.03</v>
      </c>
      <c r="AQ381">
        <v>207.2291682</v>
      </c>
      <c r="AR381">
        <v>0</v>
      </c>
      <c r="AS381">
        <f>_xlfn.XLOOKUP(B381,InstallDate!$H$2:$H$389,InstallDate!$BE$2:$BE$389)</f>
        <v>0</v>
      </c>
      <c r="AT381">
        <f t="shared" si="37"/>
        <v>0</v>
      </c>
      <c r="AU381">
        <f t="shared" si="35"/>
        <v>1.445434834979523E-2</v>
      </c>
      <c r="AV381">
        <f t="shared" si="38"/>
        <v>0</v>
      </c>
      <c r="AW381">
        <f t="shared" si="39"/>
        <v>0</v>
      </c>
      <c r="AX381">
        <f t="shared" si="40"/>
        <v>0</v>
      </c>
      <c r="AY381">
        <f t="shared" si="41"/>
        <v>1</v>
      </c>
      <c r="AZ381">
        <f t="shared" si="36"/>
        <v>1</v>
      </c>
    </row>
    <row r="382" spans="1:52" x14ac:dyDescent="0.2">
      <c r="A382">
        <v>381</v>
      </c>
      <c r="B382" t="s">
        <v>430</v>
      </c>
      <c r="C382">
        <v>0</v>
      </c>
      <c r="H382" t="s">
        <v>430</v>
      </c>
      <c r="I382" t="s">
        <v>141</v>
      </c>
      <c r="Q382" t="s">
        <v>430</v>
      </c>
      <c r="R382">
        <v>18.512161420000002</v>
      </c>
      <c r="S382">
        <v>2</v>
      </c>
      <c r="T382">
        <v>130</v>
      </c>
      <c r="V382">
        <v>0</v>
      </c>
      <c r="W382">
        <v>0</v>
      </c>
      <c r="X382" t="s">
        <v>430</v>
      </c>
      <c r="Y382">
        <v>1</v>
      </c>
      <c r="Z382">
        <v>2</v>
      </c>
      <c r="AA382">
        <v>18.510000000000002</v>
      </c>
      <c r="AB382">
        <v>130</v>
      </c>
      <c r="AC382">
        <v>1.8</v>
      </c>
      <c r="AD382">
        <v>0.18</v>
      </c>
      <c r="AE382">
        <v>0</v>
      </c>
      <c r="AF382">
        <v>0.13</v>
      </c>
      <c r="AG382">
        <v>1</v>
      </c>
      <c r="AH382">
        <v>1.8</v>
      </c>
      <c r="AI382">
        <v>1.8</v>
      </c>
      <c r="AJ382">
        <v>1.8</v>
      </c>
      <c r="AK382">
        <v>0.18</v>
      </c>
      <c r="AL382">
        <v>0.18</v>
      </c>
      <c r="AM382">
        <v>0.18</v>
      </c>
      <c r="AN382">
        <v>0</v>
      </c>
      <c r="AO382">
        <v>0</v>
      </c>
      <c r="AP382">
        <v>0</v>
      </c>
      <c r="AQ382">
        <v>18.512161420000002</v>
      </c>
      <c r="AR382">
        <v>0</v>
      </c>
      <c r="AS382">
        <f>_xlfn.XLOOKUP(B382,InstallDate!$H$2:$H$389,InstallDate!$BE$2:$BE$389)</f>
        <v>0</v>
      </c>
      <c r="AT382">
        <f t="shared" si="37"/>
        <v>0</v>
      </c>
      <c r="AU382">
        <f t="shared" si="35"/>
        <v>1.445434834979523E-2</v>
      </c>
      <c r="AV382">
        <f t="shared" si="38"/>
        <v>0</v>
      </c>
      <c r="AW382">
        <f t="shared" si="39"/>
        <v>0</v>
      </c>
      <c r="AX382">
        <f t="shared" si="40"/>
        <v>0</v>
      </c>
      <c r="AY382">
        <f t="shared" si="41"/>
        <v>1</v>
      </c>
      <c r="AZ382">
        <f t="shared" si="36"/>
        <v>1</v>
      </c>
    </row>
    <row r="383" spans="1:52" x14ac:dyDescent="0.2">
      <c r="A383">
        <v>382</v>
      </c>
      <c r="B383" t="s">
        <v>431</v>
      </c>
      <c r="C383">
        <v>0</v>
      </c>
      <c r="H383" t="s">
        <v>431</v>
      </c>
      <c r="I383" t="s">
        <v>141</v>
      </c>
      <c r="Q383" t="s">
        <v>431</v>
      </c>
      <c r="R383">
        <v>147.95065589999999</v>
      </c>
      <c r="S383">
        <v>2</v>
      </c>
      <c r="T383">
        <v>130</v>
      </c>
      <c r="V383">
        <v>0</v>
      </c>
      <c r="W383">
        <v>0</v>
      </c>
      <c r="X383" t="s">
        <v>431</v>
      </c>
      <c r="Y383">
        <v>1</v>
      </c>
      <c r="Z383">
        <v>2</v>
      </c>
      <c r="AA383">
        <v>147.94999999999999</v>
      </c>
      <c r="AB383">
        <v>130</v>
      </c>
      <c r="AC383">
        <v>0.14000000000000001</v>
      </c>
      <c r="AD383">
        <v>0.01</v>
      </c>
      <c r="AE383">
        <v>0</v>
      </c>
      <c r="AF383">
        <v>0</v>
      </c>
      <c r="AG383">
        <v>1</v>
      </c>
      <c r="AH383">
        <v>0.14000000000000001</v>
      </c>
      <c r="AI383">
        <v>0.14000000000000001</v>
      </c>
      <c r="AJ383">
        <v>0.14000000000000001</v>
      </c>
      <c r="AK383">
        <v>0.01</v>
      </c>
      <c r="AL383">
        <v>0.01</v>
      </c>
      <c r="AM383">
        <v>0.01</v>
      </c>
      <c r="AN383">
        <v>0</v>
      </c>
      <c r="AO383">
        <v>0</v>
      </c>
      <c r="AP383">
        <v>0</v>
      </c>
      <c r="AQ383">
        <v>147.95065589999999</v>
      </c>
      <c r="AR383">
        <v>0</v>
      </c>
      <c r="AS383">
        <f>_xlfn.XLOOKUP(B383,InstallDate!$H$2:$H$389,InstallDate!$BE$2:$BE$389)</f>
        <v>0</v>
      </c>
      <c r="AT383">
        <f t="shared" si="37"/>
        <v>0</v>
      </c>
      <c r="AU383">
        <f t="shared" si="35"/>
        <v>1.1242270938729624E-3</v>
      </c>
      <c r="AV383">
        <f t="shared" si="38"/>
        <v>0</v>
      </c>
      <c r="AW383">
        <f t="shared" si="39"/>
        <v>0</v>
      </c>
      <c r="AX383">
        <f t="shared" si="40"/>
        <v>0</v>
      </c>
      <c r="AY383">
        <f t="shared" si="41"/>
        <v>1</v>
      </c>
      <c r="AZ383">
        <f t="shared" si="36"/>
        <v>1</v>
      </c>
    </row>
    <row r="384" spans="1:52" x14ac:dyDescent="0.2">
      <c r="A384">
        <v>383</v>
      </c>
      <c r="B384" t="s">
        <v>432</v>
      </c>
      <c r="C384">
        <v>0</v>
      </c>
      <c r="H384" t="s">
        <v>432</v>
      </c>
      <c r="I384" t="s">
        <v>45</v>
      </c>
      <c r="Q384" t="s">
        <v>432</v>
      </c>
      <c r="R384">
        <v>16.65931746</v>
      </c>
      <c r="S384">
        <v>6</v>
      </c>
      <c r="T384">
        <v>130</v>
      </c>
      <c r="V384">
        <v>0</v>
      </c>
      <c r="W384">
        <v>0</v>
      </c>
      <c r="X384" t="s">
        <v>432</v>
      </c>
      <c r="Y384">
        <v>-1</v>
      </c>
      <c r="Z384">
        <v>6</v>
      </c>
      <c r="AA384">
        <v>16.66</v>
      </c>
      <c r="AB384">
        <v>130</v>
      </c>
      <c r="AC384">
        <v>34.6</v>
      </c>
      <c r="AD384">
        <v>0.39</v>
      </c>
      <c r="AE384">
        <v>0</v>
      </c>
      <c r="AF384">
        <v>0.15</v>
      </c>
      <c r="AG384">
        <v>1</v>
      </c>
      <c r="AH384">
        <v>34.6</v>
      </c>
      <c r="AI384">
        <v>34.6</v>
      </c>
      <c r="AJ384">
        <v>34.6</v>
      </c>
      <c r="AK384">
        <v>0.39</v>
      </c>
      <c r="AL384">
        <v>0.39</v>
      </c>
      <c r="AM384">
        <v>0.39</v>
      </c>
      <c r="AN384">
        <v>0</v>
      </c>
      <c r="AO384">
        <v>0</v>
      </c>
      <c r="AP384">
        <v>0</v>
      </c>
      <c r="AQ384">
        <v>16.65931746</v>
      </c>
      <c r="AR384">
        <v>0</v>
      </c>
      <c r="AS384">
        <f>_xlfn.XLOOKUP(B384,InstallDate!$H$2:$H$389,InstallDate!$BE$2:$BE$389)</f>
        <v>0</v>
      </c>
      <c r="AT384">
        <f t="shared" si="37"/>
        <v>0</v>
      </c>
      <c r="AU384">
        <f t="shared" si="35"/>
        <v>0.27784469605717499</v>
      </c>
      <c r="AV384">
        <f t="shared" si="38"/>
        <v>0</v>
      </c>
      <c r="AW384">
        <f t="shared" si="39"/>
        <v>3</v>
      </c>
      <c r="AX384">
        <f t="shared" si="40"/>
        <v>2</v>
      </c>
      <c r="AY384">
        <f t="shared" si="41"/>
        <v>0</v>
      </c>
      <c r="AZ384">
        <f t="shared" si="36"/>
        <v>2</v>
      </c>
    </row>
    <row r="385" spans="1:52" x14ac:dyDescent="0.2">
      <c r="A385">
        <v>384</v>
      </c>
      <c r="B385" t="s">
        <v>433</v>
      </c>
      <c r="C385">
        <v>0</v>
      </c>
      <c r="H385" t="s">
        <v>433</v>
      </c>
      <c r="I385" t="s">
        <v>45</v>
      </c>
      <c r="Q385" t="s">
        <v>433</v>
      </c>
      <c r="R385">
        <v>718.31008780000002</v>
      </c>
      <c r="S385">
        <v>6</v>
      </c>
      <c r="T385">
        <v>130</v>
      </c>
      <c r="V385">
        <v>0</v>
      </c>
      <c r="W385">
        <v>0</v>
      </c>
      <c r="X385" t="s">
        <v>433</v>
      </c>
      <c r="Y385">
        <v>-1</v>
      </c>
      <c r="Z385">
        <v>6</v>
      </c>
      <c r="AA385">
        <v>718.31</v>
      </c>
      <c r="AB385">
        <v>130</v>
      </c>
      <c r="AC385">
        <v>34.6</v>
      </c>
      <c r="AD385">
        <v>0.39</v>
      </c>
      <c r="AE385">
        <v>0.1</v>
      </c>
      <c r="AF385">
        <v>0.15</v>
      </c>
      <c r="AG385">
        <v>1</v>
      </c>
      <c r="AH385">
        <v>34.6</v>
      </c>
      <c r="AI385">
        <v>34.6</v>
      </c>
      <c r="AJ385">
        <v>34.6</v>
      </c>
      <c r="AK385">
        <v>0.39</v>
      </c>
      <c r="AL385">
        <v>0.39</v>
      </c>
      <c r="AM385">
        <v>0.39</v>
      </c>
      <c r="AN385">
        <v>0.1</v>
      </c>
      <c r="AO385">
        <v>0.1</v>
      </c>
      <c r="AP385">
        <v>0.1</v>
      </c>
      <c r="AQ385">
        <v>718.31008780000002</v>
      </c>
      <c r="AR385">
        <v>0</v>
      </c>
      <c r="AS385">
        <f>_xlfn.XLOOKUP(B385,InstallDate!$H$2:$H$389,InstallDate!$BE$2:$BE$389)</f>
        <v>0</v>
      </c>
      <c r="AT385">
        <f t="shared" si="37"/>
        <v>0</v>
      </c>
      <c r="AU385">
        <f t="shared" si="35"/>
        <v>0.27784469605717499</v>
      </c>
      <c r="AV385">
        <f t="shared" si="38"/>
        <v>0</v>
      </c>
      <c r="AW385">
        <f t="shared" si="39"/>
        <v>3</v>
      </c>
      <c r="AX385">
        <f t="shared" si="40"/>
        <v>2</v>
      </c>
      <c r="AY385">
        <f t="shared" si="41"/>
        <v>0</v>
      </c>
      <c r="AZ385">
        <f t="shared" si="36"/>
        <v>2</v>
      </c>
    </row>
    <row r="386" spans="1:52" x14ac:dyDescent="0.2">
      <c r="A386">
        <v>385</v>
      </c>
      <c r="B386" t="s">
        <v>434</v>
      </c>
      <c r="C386">
        <v>0</v>
      </c>
      <c r="H386" t="s">
        <v>434</v>
      </c>
      <c r="I386" t="s">
        <v>45</v>
      </c>
      <c r="Q386" t="s">
        <v>434</v>
      </c>
      <c r="R386">
        <v>46.007285600000003</v>
      </c>
      <c r="S386">
        <v>6</v>
      </c>
      <c r="T386">
        <v>130</v>
      </c>
      <c r="V386">
        <v>0</v>
      </c>
      <c r="W386">
        <v>0</v>
      </c>
      <c r="X386" t="s">
        <v>434</v>
      </c>
      <c r="Y386">
        <v>-1</v>
      </c>
      <c r="Z386">
        <v>6</v>
      </c>
      <c r="AA386">
        <v>46.01</v>
      </c>
      <c r="AB386">
        <v>130</v>
      </c>
      <c r="AC386">
        <v>34.6</v>
      </c>
      <c r="AD386">
        <v>0.39</v>
      </c>
      <c r="AE386">
        <v>0.01</v>
      </c>
      <c r="AF386">
        <v>0.15</v>
      </c>
      <c r="AG386">
        <v>1</v>
      </c>
      <c r="AH386">
        <v>34.6</v>
      </c>
      <c r="AI386">
        <v>34.6</v>
      </c>
      <c r="AJ386">
        <v>34.6</v>
      </c>
      <c r="AK386">
        <v>0.39</v>
      </c>
      <c r="AL386">
        <v>0.39</v>
      </c>
      <c r="AM386">
        <v>0.39</v>
      </c>
      <c r="AN386">
        <v>0.01</v>
      </c>
      <c r="AO386">
        <v>0.01</v>
      </c>
      <c r="AP386">
        <v>0.01</v>
      </c>
      <c r="AQ386">
        <v>46.007285600000003</v>
      </c>
      <c r="AR386">
        <v>0</v>
      </c>
      <c r="AS386">
        <f>_xlfn.XLOOKUP(B386,InstallDate!$H$2:$H$389,InstallDate!$BE$2:$BE$389)</f>
        <v>0</v>
      </c>
      <c r="AT386">
        <f t="shared" si="37"/>
        <v>0</v>
      </c>
      <c r="AU386">
        <f t="shared" si="35"/>
        <v>0.27784469605717499</v>
      </c>
      <c r="AV386">
        <f t="shared" si="38"/>
        <v>0</v>
      </c>
      <c r="AW386">
        <f t="shared" si="39"/>
        <v>3</v>
      </c>
      <c r="AX386">
        <f t="shared" si="40"/>
        <v>2</v>
      </c>
      <c r="AY386">
        <f t="shared" si="41"/>
        <v>0</v>
      </c>
      <c r="AZ386">
        <f t="shared" ref="AZ386:AZ389" si="42">IF(AND(MAX(AV386:AY386)&gt;2,AS386=1),3,IF(AND(MAX(AV386:AY386)&lt;=2,AS386=1),2,IF(AND(MAX(AV386:AY386)&gt;1,AS386=0),2,1)))</f>
        <v>2</v>
      </c>
    </row>
    <row r="387" spans="1:52" x14ac:dyDescent="0.2">
      <c r="A387">
        <v>386</v>
      </c>
      <c r="B387" t="s">
        <v>435</v>
      </c>
      <c r="C387">
        <v>0</v>
      </c>
      <c r="H387" t="s">
        <v>435</v>
      </c>
      <c r="I387" t="s">
        <v>45</v>
      </c>
      <c r="Q387" t="s">
        <v>435</v>
      </c>
      <c r="R387">
        <v>13.106811069999999</v>
      </c>
      <c r="S387">
        <v>6</v>
      </c>
      <c r="T387">
        <v>130</v>
      </c>
      <c r="V387">
        <v>0</v>
      </c>
      <c r="W387">
        <v>0</v>
      </c>
      <c r="X387" t="s">
        <v>435</v>
      </c>
      <c r="Y387">
        <v>-1</v>
      </c>
      <c r="Z387">
        <v>6</v>
      </c>
      <c r="AA387">
        <v>13.11</v>
      </c>
      <c r="AB387">
        <v>130</v>
      </c>
      <c r="AC387">
        <v>34.6</v>
      </c>
      <c r="AD387">
        <v>0.39</v>
      </c>
      <c r="AE387">
        <v>0</v>
      </c>
      <c r="AF387">
        <v>0.14000000000000001</v>
      </c>
      <c r="AG387">
        <v>1</v>
      </c>
      <c r="AH387">
        <v>34.6</v>
      </c>
      <c r="AI387">
        <v>34.6</v>
      </c>
      <c r="AJ387">
        <v>34.6</v>
      </c>
      <c r="AK387">
        <v>0.39</v>
      </c>
      <c r="AL387">
        <v>0.39</v>
      </c>
      <c r="AM387">
        <v>0.39</v>
      </c>
      <c r="AN387">
        <v>0</v>
      </c>
      <c r="AO387">
        <v>0</v>
      </c>
      <c r="AP387">
        <v>0</v>
      </c>
      <c r="AQ387">
        <v>13.106811069999999</v>
      </c>
      <c r="AR387">
        <v>0</v>
      </c>
      <c r="AS387">
        <f>_xlfn.XLOOKUP(B387,InstallDate!$H$2:$H$389,InstallDate!$BE$2:$BE$389)</f>
        <v>0</v>
      </c>
      <c r="AT387">
        <f t="shared" ref="AT387:AT389" si="43">IF(COUNTIF(AR387:AS387,1)=0,0,SUM(AR387:AS387)/COUNTIF(AR387:AS387,1))</f>
        <v>0</v>
      </c>
      <c r="AU387">
        <f t="shared" si="35"/>
        <v>0.27784469605717499</v>
      </c>
      <c r="AV387">
        <f t="shared" ref="AV387:AV389" si="44">IF($AU387&gt;=_xlfn.PERCENTILE.INC($AU$2:$AU$369,AV$1),4,0)</f>
        <v>0</v>
      </c>
      <c r="AW387">
        <f t="shared" ref="AW387:AW389" si="45">IF($AU387&gt;=_xlfn.PERCENTILE.INC($AU$2:$AU$369,AW$1),3,0)</f>
        <v>3</v>
      </c>
      <c r="AX387">
        <f t="shared" ref="AX387:AX389" si="46">IF($AU387&gt;=_xlfn.PERCENTILE.INC($AU$2:$AU$369,AX$1),2,0)</f>
        <v>2</v>
      </c>
      <c r="AY387">
        <f t="shared" ref="AY387:AY389" si="47">IF(SUM(AV387:AX387)&lt;1,1,0)</f>
        <v>0</v>
      </c>
      <c r="AZ387">
        <f t="shared" si="42"/>
        <v>2</v>
      </c>
    </row>
    <row r="388" spans="1:52" x14ac:dyDescent="0.2">
      <c r="A388">
        <v>387</v>
      </c>
      <c r="B388" t="s">
        <v>436</v>
      </c>
      <c r="C388">
        <v>0</v>
      </c>
      <c r="H388" t="s">
        <v>436</v>
      </c>
      <c r="I388" t="s">
        <v>437</v>
      </c>
      <c r="Q388" t="s">
        <v>436</v>
      </c>
      <c r="R388">
        <v>579</v>
      </c>
      <c r="S388">
        <v>6</v>
      </c>
      <c r="T388">
        <v>130</v>
      </c>
      <c r="U388">
        <v>0</v>
      </c>
      <c r="V388">
        <v>0</v>
      </c>
      <c r="W388">
        <v>0</v>
      </c>
      <c r="X388" t="s">
        <v>436</v>
      </c>
      <c r="Y388">
        <v>-1</v>
      </c>
      <c r="Z388">
        <v>6</v>
      </c>
      <c r="AA388">
        <v>579</v>
      </c>
      <c r="AB388">
        <v>130</v>
      </c>
      <c r="AC388">
        <v>36.81</v>
      </c>
      <c r="AD388">
        <v>0.42</v>
      </c>
      <c r="AE388">
        <v>0.09</v>
      </c>
      <c r="AF388">
        <v>0.16</v>
      </c>
      <c r="AG388">
        <v>1</v>
      </c>
      <c r="AH388">
        <v>36.81</v>
      </c>
      <c r="AI388">
        <v>36.81</v>
      </c>
      <c r="AJ388">
        <v>36.81</v>
      </c>
      <c r="AK388">
        <v>0.42</v>
      </c>
      <c r="AL388">
        <v>0.42</v>
      </c>
      <c r="AM388">
        <v>0.42</v>
      </c>
      <c r="AN388">
        <v>0.09</v>
      </c>
      <c r="AO388">
        <v>0.09</v>
      </c>
      <c r="AP388">
        <v>0.09</v>
      </c>
      <c r="AQ388">
        <v>579.70843830000001</v>
      </c>
      <c r="AR388">
        <v>0</v>
      </c>
      <c r="AS388">
        <f>_xlfn.XLOOKUP(B388,InstallDate!$H$2:$H$389,InstallDate!$BE$2:$BE$389)</f>
        <v>0</v>
      </c>
      <c r="AT388">
        <f t="shared" si="43"/>
        <v>0</v>
      </c>
      <c r="AU388">
        <f t="shared" si="35"/>
        <v>0.29559142375331249</v>
      </c>
      <c r="AV388">
        <f t="shared" si="44"/>
        <v>4</v>
      </c>
      <c r="AW388">
        <f t="shared" si="45"/>
        <v>3</v>
      </c>
      <c r="AX388">
        <f t="shared" si="46"/>
        <v>2</v>
      </c>
      <c r="AY388">
        <f t="shared" si="47"/>
        <v>0</v>
      </c>
      <c r="AZ388">
        <f t="shared" si="42"/>
        <v>2</v>
      </c>
    </row>
    <row r="389" spans="1:52" x14ac:dyDescent="0.2">
      <c r="A389">
        <v>388</v>
      </c>
      <c r="B389" t="s">
        <v>438</v>
      </c>
      <c r="C389">
        <v>0</v>
      </c>
      <c r="H389" t="s">
        <v>438</v>
      </c>
      <c r="I389" t="s">
        <v>439</v>
      </c>
      <c r="Q389" t="s">
        <v>438</v>
      </c>
      <c r="R389">
        <v>100</v>
      </c>
      <c r="S389">
        <v>6</v>
      </c>
      <c r="T389">
        <v>130</v>
      </c>
      <c r="U389">
        <v>0</v>
      </c>
      <c r="V389">
        <v>0</v>
      </c>
      <c r="W389">
        <v>0</v>
      </c>
      <c r="X389" t="s">
        <v>438</v>
      </c>
      <c r="Y389">
        <v>1</v>
      </c>
      <c r="Z389">
        <v>6</v>
      </c>
      <c r="AA389">
        <v>100</v>
      </c>
      <c r="AB389">
        <v>130</v>
      </c>
      <c r="AC389">
        <v>27.2</v>
      </c>
      <c r="AD389">
        <v>0.31</v>
      </c>
      <c r="AE389">
        <v>0.01</v>
      </c>
      <c r="AF389">
        <v>0.09</v>
      </c>
      <c r="AG389">
        <v>1</v>
      </c>
      <c r="AH389">
        <v>27.2</v>
      </c>
      <c r="AI389">
        <v>27.2</v>
      </c>
      <c r="AJ389">
        <v>27.2</v>
      </c>
      <c r="AK389">
        <v>0.31</v>
      </c>
      <c r="AL389">
        <v>0.31</v>
      </c>
      <c r="AM389">
        <v>0.31</v>
      </c>
      <c r="AN389">
        <v>0.01</v>
      </c>
      <c r="AO389">
        <v>0.01</v>
      </c>
      <c r="AP389">
        <v>0.01</v>
      </c>
      <c r="AQ389">
        <v>137.55373449999999</v>
      </c>
      <c r="AR389">
        <v>0</v>
      </c>
      <c r="AS389">
        <f>_xlfn.XLOOKUP(B389,InstallDate!$H$2:$H$389,InstallDate!$BE$2:$BE$389)</f>
        <v>1</v>
      </c>
      <c r="AT389">
        <f t="shared" si="43"/>
        <v>1</v>
      </c>
      <c r="AU389">
        <f t="shared" si="35"/>
        <v>0.21842126395246125</v>
      </c>
      <c r="AV389">
        <f t="shared" si="44"/>
        <v>0</v>
      </c>
      <c r="AW389">
        <f t="shared" si="45"/>
        <v>3</v>
      </c>
      <c r="AX389">
        <f t="shared" si="46"/>
        <v>2</v>
      </c>
      <c r="AY389">
        <f t="shared" si="47"/>
        <v>0</v>
      </c>
      <c r="AZ389">
        <f t="shared" si="42"/>
        <v>3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F0F3-E8CE-5143-BD53-237262042621}">
  <dimension ref="A1:G389"/>
  <sheetViews>
    <sheetView tabSelected="1" workbookViewId="0">
      <selection activeCell="D12" sqref="D12"/>
    </sheetView>
  </sheetViews>
  <sheetFormatPr baseColWidth="10" defaultRowHeight="16" x14ac:dyDescent="0.2"/>
  <cols>
    <col min="1" max="1" width="19.6640625" bestFit="1" customWidth="1"/>
    <col min="2" max="2" width="31.5" bestFit="1" customWidth="1"/>
  </cols>
  <sheetData>
    <row r="1" spans="1:7" x14ac:dyDescent="0.2">
      <c r="A1" t="s">
        <v>983</v>
      </c>
      <c r="B1" t="s">
        <v>984</v>
      </c>
      <c r="C1" t="s">
        <v>985</v>
      </c>
      <c r="D1" t="s">
        <v>986</v>
      </c>
      <c r="E1" t="s">
        <v>987</v>
      </c>
      <c r="F1" t="s">
        <v>982</v>
      </c>
      <c r="G1" t="s">
        <v>988</v>
      </c>
    </row>
    <row r="2" spans="1:7" x14ac:dyDescent="0.2">
      <c r="A2" t="str">
        <f>Louisa_wConduits_Input_CSV!B2</f>
        <v>P787</v>
      </c>
      <c r="B2" t="str">
        <f>_xlfn.XLOOKUP(A2,[1]Conduits_Condition!$A$2:$A$389,[1]Conduits_Condition!$B$2:$B$389)</f>
        <v>DI</v>
      </c>
      <c r="C2">
        <f ca="1">YEAR(TODAY())-_xlfn.XLOOKUP(A2,InstallDate!$B$2:$B$389,InstallDate!$BD$2:$BD$389)</f>
        <v>96</v>
      </c>
      <c r="D2">
        <f>Louisa_wConduits_Input_CSV!R2</f>
        <v>49.271155159999999</v>
      </c>
      <c r="E2">
        <f>Louisa_wConduits_Input_CSV!S2</f>
        <v>6</v>
      </c>
      <c r="F2">
        <f ca="1">_xlfn.XLOOKUP(A2,[1]LEYP_Input!A$2:A$389,[1]LEYP_Input!$C$2:$C$389)</f>
        <v>1</v>
      </c>
      <c r="G2">
        <f>Louisa_wConduits_Input_CSV!AZ2</f>
        <v>1</v>
      </c>
    </row>
    <row r="3" spans="1:7" x14ac:dyDescent="0.2">
      <c r="A3" t="str">
        <f>Louisa_wConduits_Input_CSV!B3</f>
        <v>P789</v>
      </c>
      <c r="B3" t="str">
        <f>_xlfn.XLOOKUP(A3,[1]Conduits_Condition!$A$2:$A$389,[1]Conduits_Condition!$B$2:$B$389)</f>
        <v>DI</v>
      </c>
      <c r="C3">
        <f ca="1">YEAR(TODAY())-_xlfn.XLOOKUP(A3,InstallDate!$B$2:$B$389,InstallDate!$BD$2:$BD$389)</f>
        <v>96</v>
      </c>
      <c r="D3">
        <f>Louisa_wConduits_Input_CSV!R3</f>
        <v>37.541067200000001</v>
      </c>
      <c r="E3">
        <f>Louisa_wConduits_Input_CSV!S3</f>
        <v>6</v>
      </c>
      <c r="F3">
        <f ca="1">_xlfn.XLOOKUP(A3,[1]LEYP_Input!A$2:A$389,[1]LEYP_Input!$C$2:$C$389)</f>
        <v>1</v>
      </c>
      <c r="G3">
        <f>Louisa_wConduits_Input_CSV!AZ3</f>
        <v>1</v>
      </c>
    </row>
    <row r="4" spans="1:7" x14ac:dyDescent="0.2">
      <c r="A4" t="str">
        <f>Louisa_wConduits_Input_CSV!B4</f>
        <v>P791</v>
      </c>
      <c r="B4" t="str">
        <f>_xlfn.XLOOKUP(A4,[1]Conduits_Condition!$A$2:$A$389,[1]Conduits_Condition!$B$2:$B$389)</f>
        <v>DI</v>
      </c>
      <c r="C4">
        <f ca="1">YEAR(TODAY())-_xlfn.XLOOKUP(A4,InstallDate!$B$2:$B$389,InstallDate!$BD$2:$BD$389)</f>
        <v>96</v>
      </c>
      <c r="D4">
        <f>Louisa_wConduits_Input_CSV!R4</f>
        <v>22.046683529999999</v>
      </c>
      <c r="E4">
        <f>Louisa_wConduits_Input_CSV!S4</f>
        <v>6</v>
      </c>
      <c r="F4">
        <f ca="1">_xlfn.XLOOKUP(A4,[1]LEYP_Input!A$2:A$389,[1]LEYP_Input!$C$2:$C$389)</f>
        <v>1</v>
      </c>
      <c r="G4">
        <f>Louisa_wConduits_Input_CSV!AZ4</f>
        <v>1</v>
      </c>
    </row>
    <row r="5" spans="1:7" x14ac:dyDescent="0.2">
      <c r="A5" t="str">
        <f>Louisa_wConduits_Input_CSV!B5</f>
        <v>P793</v>
      </c>
      <c r="B5" t="str">
        <f>_xlfn.XLOOKUP(A5,[1]Conduits_Condition!$A$2:$A$389,[1]Conduits_Condition!$B$2:$B$389)</f>
        <v>DI</v>
      </c>
      <c r="C5">
        <f ca="1">YEAR(TODAY())-_xlfn.XLOOKUP(A5,InstallDate!$B$2:$B$389,InstallDate!$BD$2:$BD$389)</f>
        <v>96</v>
      </c>
      <c r="D5">
        <f>Louisa_wConduits_Input_CSV!R5</f>
        <v>25.52698036</v>
      </c>
      <c r="E5">
        <f>Louisa_wConduits_Input_CSV!S5</f>
        <v>6</v>
      </c>
      <c r="F5">
        <f ca="1">_xlfn.XLOOKUP(A5,[1]LEYP_Input!A$2:A$389,[1]LEYP_Input!$C$2:$C$389)</f>
        <v>1</v>
      </c>
      <c r="G5">
        <f>Louisa_wConduits_Input_CSV!AZ5</f>
        <v>1</v>
      </c>
    </row>
    <row r="6" spans="1:7" x14ac:dyDescent="0.2">
      <c r="A6" t="str">
        <f>Louisa_wConduits_Input_CSV!B6</f>
        <v>P795</v>
      </c>
      <c r="B6" t="str">
        <f>_xlfn.XLOOKUP(A6,[1]Conduits_Condition!$A$2:$A$389,[1]Conduits_Condition!$B$2:$B$389)</f>
        <v>DI</v>
      </c>
      <c r="C6">
        <f ca="1">YEAR(TODAY())-_xlfn.XLOOKUP(A6,InstallDate!$B$2:$B$389,InstallDate!$BD$2:$BD$389)</f>
        <v>96</v>
      </c>
      <c r="D6">
        <f>Louisa_wConduits_Input_CSV!R6</f>
        <v>30.261046539999999</v>
      </c>
      <c r="E6">
        <f>Louisa_wConduits_Input_CSV!S6</f>
        <v>6</v>
      </c>
      <c r="F6">
        <f ca="1">_xlfn.XLOOKUP(A6,[1]LEYP_Input!A$2:A$389,[1]LEYP_Input!$C$2:$C$389)</f>
        <v>1</v>
      </c>
      <c r="G6">
        <f>Louisa_wConduits_Input_CSV!AZ6</f>
        <v>1</v>
      </c>
    </row>
    <row r="7" spans="1:7" x14ac:dyDescent="0.2">
      <c r="A7" t="str">
        <f>Louisa_wConduits_Input_CSV!B7</f>
        <v>P797</v>
      </c>
      <c r="B7" t="str">
        <f>_xlfn.XLOOKUP(A7,[1]Conduits_Condition!$A$2:$A$389,[1]Conduits_Condition!$B$2:$B$389)</f>
        <v>DI</v>
      </c>
      <c r="C7">
        <f ca="1">YEAR(TODAY())-_xlfn.XLOOKUP(A7,InstallDate!$B$2:$B$389,InstallDate!$BD$2:$BD$389)</f>
        <v>96</v>
      </c>
      <c r="D7">
        <f>Louisa_wConduits_Input_CSV!R7</f>
        <v>28.800562679999999</v>
      </c>
      <c r="E7">
        <f>Louisa_wConduits_Input_CSV!S7</f>
        <v>6</v>
      </c>
      <c r="F7">
        <f ca="1">_xlfn.XLOOKUP(A7,[1]LEYP_Input!A$2:A$389,[1]LEYP_Input!$C$2:$C$389)</f>
        <v>1</v>
      </c>
      <c r="G7">
        <f>Louisa_wConduits_Input_CSV!AZ7</f>
        <v>1</v>
      </c>
    </row>
    <row r="8" spans="1:7" x14ac:dyDescent="0.2">
      <c r="A8" t="str">
        <f>Louisa_wConduits_Input_CSV!B8</f>
        <v>P799</v>
      </c>
      <c r="B8" t="str">
        <f>_xlfn.XLOOKUP(A8,[1]Conduits_Condition!$A$2:$A$389,[1]Conduits_Condition!$B$2:$B$389)</f>
        <v>DI</v>
      </c>
      <c r="C8">
        <f ca="1">YEAR(TODAY())-_xlfn.XLOOKUP(A8,InstallDate!$B$2:$B$389,InstallDate!$BD$2:$BD$389)</f>
        <v>96</v>
      </c>
      <c r="D8">
        <f>Louisa_wConduits_Input_CSV!R8</f>
        <v>29.68609279</v>
      </c>
      <c r="E8">
        <f>Louisa_wConduits_Input_CSV!S8</f>
        <v>6</v>
      </c>
      <c r="F8">
        <f ca="1">_xlfn.XLOOKUP(A8,[1]LEYP_Input!A$2:A$389,[1]LEYP_Input!$C$2:$C$389)</f>
        <v>1</v>
      </c>
      <c r="G8">
        <f>Louisa_wConduits_Input_CSV!AZ8</f>
        <v>1</v>
      </c>
    </row>
    <row r="9" spans="1:7" x14ac:dyDescent="0.2">
      <c r="A9" t="str">
        <f>Louisa_wConduits_Input_CSV!B9</f>
        <v>P801</v>
      </c>
      <c r="B9" t="str">
        <f>_xlfn.XLOOKUP(A9,[1]Conduits_Condition!$A$2:$A$389,[1]Conduits_Condition!$B$2:$B$389)</f>
        <v>DI</v>
      </c>
      <c r="C9">
        <f ca="1">YEAR(TODAY())-_xlfn.XLOOKUP(A9,InstallDate!$B$2:$B$389,InstallDate!$BD$2:$BD$389)</f>
        <v>96</v>
      </c>
      <c r="D9">
        <f>Louisa_wConduits_Input_CSV!R9</f>
        <v>23.980234899999999</v>
      </c>
      <c r="E9">
        <f>Louisa_wConduits_Input_CSV!S9</f>
        <v>6</v>
      </c>
      <c r="F9">
        <f ca="1">_xlfn.XLOOKUP(A9,[1]LEYP_Input!A$2:A$389,[1]LEYP_Input!$C$2:$C$389)</f>
        <v>1</v>
      </c>
      <c r="G9">
        <f>Louisa_wConduits_Input_CSV!AZ9</f>
        <v>1</v>
      </c>
    </row>
    <row r="10" spans="1:7" x14ac:dyDescent="0.2">
      <c r="A10" t="str">
        <f>Louisa_wConduits_Input_CSV!B10</f>
        <v>P803</v>
      </c>
      <c r="B10" t="str">
        <f>_xlfn.XLOOKUP(A10,[1]Conduits_Condition!$A$2:$A$389,[1]Conduits_Condition!$B$2:$B$389)</f>
        <v>DI</v>
      </c>
      <c r="C10">
        <f ca="1">YEAR(TODAY())-_xlfn.XLOOKUP(A10,InstallDate!$B$2:$B$389,InstallDate!$BD$2:$BD$389)</f>
        <v>76</v>
      </c>
      <c r="D10">
        <f>Louisa_wConduits_Input_CSV!R10</f>
        <v>169.1278993</v>
      </c>
      <c r="E10">
        <f>Louisa_wConduits_Input_CSV!S10</f>
        <v>6</v>
      </c>
      <c r="F10">
        <f ca="1">_xlfn.XLOOKUP(A10,[1]LEYP_Input!A$2:A$389,[1]LEYP_Input!$C$2:$C$389)</f>
        <v>1</v>
      </c>
      <c r="G10">
        <f>Louisa_wConduits_Input_CSV!AZ10</f>
        <v>1</v>
      </c>
    </row>
    <row r="11" spans="1:7" x14ac:dyDescent="0.2">
      <c r="A11" t="str">
        <f>Louisa_wConduits_Input_CSV!B11</f>
        <v>P805</v>
      </c>
      <c r="B11" t="str">
        <f>_xlfn.XLOOKUP(A11,[1]Conduits_Condition!$A$2:$A$389,[1]Conduits_Condition!$B$2:$B$389)</f>
        <v>DI</v>
      </c>
      <c r="C11">
        <f ca="1">YEAR(TODAY())-_xlfn.XLOOKUP(A11,InstallDate!$B$2:$B$389,InstallDate!$BD$2:$BD$389)</f>
        <v>96</v>
      </c>
      <c r="D11">
        <f>Louisa_wConduits_Input_CSV!R11</f>
        <v>14.144056920000001</v>
      </c>
      <c r="E11">
        <f>Louisa_wConduits_Input_CSV!S11</f>
        <v>6</v>
      </c>
      <c r="F11">
        <f ca="1">_xlfn.XLOOKUP(A11,[1]LEYP_Input!A$2:A$389,[1]LEYP_Input!$C$2:$C$389)</f>
        <v>1</v>
      </c>
      <c r="G11">
        <f>Louisa_wConduits_Input_CSV!AZ11</f>
        <v>1</v>
      </c>
    </row>
    <row r="12" spans="1:7" x14ac:dyDescent="0.2">
      <c r="A12" t="str">
        <f>Louisa_wConduits_Input_CSV!B12</f>
        <v>P807</v>
      </c>
      <c r="B12" t="str">
        <f>_xlfn.XLOOKUP(A12,[1]Conduits_Condition!$A$2:$A$389,[1]Conduits_Condition!$B$2:$B$389)</f>
        <v>DI</v>
      </c>
      <c r="C12">
        <f ca="1">YEAR(TODAY())-_xlfn.XLOOKUP(A12,InstallDate!$B$2:$B$389,InstallDate!$BD$2:$BD$389)</f>
        <v>46</v>
      </c>
      <c r="D12">
        <f>Louisa_wConduits_Input_CSV!R12</f>
        <v>23.35630621</v>
      </c>
      <c r="E12">
        <f>Louisa_wConduits_Input_CSV!S12</f>
        <v>6</v>
      </c>
      <c r="F12">
        <f ca="1">_xlfn.XLOOKUP(A12,[1]LEYP_Input!A$2:A$389,[1]LEYP_Input!$C$2:$C$389)</f>
        <v>1</v>
      </c>
      <c r="G12">
        <f>Louisa_wConduits_Input_CSV!AZ12</f>
        <v>1</v>
      </c>
    </row>
    <row r="13" spans="1:7" x14ac:dyDescent="0.2">
      <c r="A13" t="str">
        <f>Louisa_wConduits_Input_CSV!B13</f>
        <v>P809</v>
      </c>
      <c r="B13" t="str">
        <f>_xlfn.XLOOKUP(A13,[1]Conduits_Condition!$A$2:$A$389,[1]Conduits_Condition!$B$2:$B$389)</f>
        <v>DI</v>
      </c>
      <c r="C13">
        <f ca="1">YEAR(TODAY())-_xlfn.XLOOKUP(A13,InstallDate!$B$2:$B$389,InstallDate!$BD$2:$BD$389)</f>
        <v>46</v>
      </c>
      <c r="D13">
        <f>Louisa_wConduits_Input_CSV!R13</f>
        <v>12.92421848</v>
      </c>
      <c r="E13">
        <f>Louisa_wConduits_Input_CSV!S13</f>
        <v>6</v>
      </c>
      <c r="F13">
        <f ca="1">_xlfn.XLOOKUP(A13,[1]LEYP_Input!A$2:A$389,[1]LEYP_Input!$C$2:$C$389)</f>
        <v>1</v>
      </c>
      <c r="G13">
        <f>Louisa_wConduits_Input_CSV!AZ13</f>
        <v>1</v>
      </c>
    </row>
    <row r="14" spans="1:7" x14ac:dyDescent="0.2">
      <c r="A14" t="str">
        <f>Louisa_wConduits_Input_CSV!B14</f>
        <v>P811</v>
      </c>
      <c r="B14" t="str">
        <f>_xlfn.XLOOKUP(A14,[1]Conduits_Condition!$A$2:$A$389,[1]Conduits_Condition!$B$2:$B$389)</f>
        <v>DI</v>
      </c>
      <c r="C14">
        <f ca="1">YEAR(TODAY())-_xlfn.XLOOKUP(A14,InstallDate!$B$2:$B$389,InstallDate!$BD$2:$BD$389)</f>
        <v>46</v>
      </c>
      <c r="D14">
        <f>Louisa_wConduits_Input_CSV!R14</f>
        <v>64.144728439999994</v>
      </c>
      <c r="E14">
        <f>Louisa_wConduits_Input_CSV!S14</f>
        <v>6</v>
      </c>
      <c r="F14">
        <f ca="1">_xlfn.XLOOKUP(A14,[1]LEYP_Input!A$2:A$389,[1]LEYP_Input!$C$2:$C$389)</f>
        <v>1</v>
      </c>
      <c r="G14">
        <f>Louisa_wConduits_Input_CSV!AZ14</f>
        <v>1</v>
      </c>
    </row>
    <row r="15" spans="1:7" x14ac:dyDescent="0.2">
      <c r="A15" t="str">
        <f>Louisa_wConduits_Input_CSV!B15</f>
        <v>P813</v>
      </c>
      <c r="B15" t="str">
        <f>_xlfn.XLOOKUP(A15,[1]Conduits_Condition!$A$2:$A$389,[1]Conduits_Condition!$B$2:$B$389)</f>
        <v>DI</v>
      </c>
      <c r="C15">
        <f ca="1">YEAR(TODAY())-_xlfn.XLOOKUP(A15,InstallDate!$B$2:$B$389,InstallDate!$BD$2:$BD$389)</f>
        <v>76</v>
      </c>
      <c r="D15">
        <f>Louisa_wConduits_Input_CSV!R15</f>
        <v>43.590494</v>
      </c>
      <c r="E15">
        <f>Louisa_wConduits_Input_CSV!S15</f>
        <v>6</v>
      </c>
      <c r="F15">
        <f ca="1">_xlfn.XLOOKUP(A15,[1]LEYP_Input!A$2:A$389,[1]LEYP_Input!$C$2:$C$389)</f>
        <v>1</v>
      </c>
      <c r="G15">
        <f>Louisa_wConduits_Input_CSV!AZ15</f>
        <v>1</v>
      </c>
    </row>
    <row r="16" spans="1:7" x14ac:dyDescent="0.2">
      <c r="A16" t="str">
        <f>Louisa_wConduits_Input_CSV!B16</f>
        <v>P815</v>
      </c>
      <c r="B16" t="str">
        <f>_xlfn.XLOOKUP(A16,[1]Conduits_Condition!$A$2:$A$389,[1]Conduits_Condition!$B$2:$B$389)</f>
        <v>DI</v>
      </c>
      <c r="C16">
        <f ca="1">YEAR(TODAY())-_xlfn.XLOOKUP(A16,InstallDate!$B$2:$B$389,InstallDate!$BD$2:$BD$389)</f>
        <v>76</v>
      </c>
      <c r="D16">
        <f>Louisa_wConduits_Input_CSV!R16</f>
        <v>6.0643549380000001</v>
      </c>
      <c r="E16">
        <f>Louisa_wConduits_Input_CSV!S16</f>
        <v>6</v>
      </c>
      <c r="F16">
        <f ca="1">_xlfn.XLOOKUP(A16,[1]LEYP_Input!A$2:A$389,[1]LEYP_Input!$C$2:$C$389)</f>
        <v>1</v>
      </c>
      <c r="G16">
        <f>Louisa_wConduits_Input_CSV!AZ16</f>
        <v>1</v>
      </c>
    </row>
    <row r="17" spans="1:7" x14ac:dyDescent="0.2">
      <c r="A17" t="str">
        <f>Louisa_wConduits_Input_CSV!B17</f>
        <v>P817</v>
      </c>
      <c r="B17" t="str">
        <f>_xlfn.XLOOKUP(A17,[1]Conduits_Condition!$A$2:$A$389,[1]Conduits_Condition!$B$2:$B$389)</f>
        <v>DI</v>
      </c>
      <c r="C17">
        <f ca="1">YEAR(TODAY())-_xlfn.XLOOKUP(A17,InstallDate!$B$2:$B$389,InstallDate!$BD$2:$BD$389)</f>
        <v>76</v>
      </c>
      <c r="D17">
        <f>Louisa_wConduits_Input_CSV!R17</f>
        <v>36.335398810000001</v>
      </c>
      <c r="E17">
        <f>Louisa_wConduits_Input_CSV!S17</f>
        <v>6</v>
      </c>
      <c r="F17">
        <f ca="1">_xlfn.XLOOKUP(A17,[1]LEYP_Input!A$2:A$389,[1]LEYP_Input!$C$2:$C$389)</f>
        <v>1</v>
      </c>
      <c r="G17">
        <f>Louisa_wConduits_Input_CSV!AZ17</f>
        <v>1</v>
      </c>
    </row>
    <row r="18" spans="1:7" x14ac:dyDescent="0.2">
      <c r="A18" t="str">
        <f>Louisa_wConduits_Input_CSV!B18</f>
        <v>P819</v>
      </c>
      <c r="B18" t="str">
        <f>_xlfn.XLOOKUP(A18,[1]Conduits_Condition!$A$2:$A$389,[1]Conduits_Condition!$B$2:$B$389)</f>
        <v>DI</v>
      </c>
      <c r="C18">
        <f ca="1">YEAR(TODAY())-_xlfn.XLOOKUP(A18,InstallDate!$B$2:$B$389,InstallDate!$BD$2:$BD$389)</f>
        <v>76</v>
      </c>
      <c r="D18">
        <f>Louisa_wConduits_Input_CSV!R18</f>
        <v>94.018540200000004</v>
      </c>
      <c r="E18">
        <f>Louisa_wConduits_Input_CSV!S18</f>
        <v>6</v>
      </c>
      <c r="F18">
        <f ca="1">_xlfn.XLOOKUP(A18,[1]LEYP_Input!A$2:A$389,[1]LEYP_Input!$C$2:$C$389)</f>
        <v>1</v>
      </c>
      <c r="G18">
        <f>Louisa_wConduits_Input_CSV!AZ18</f>
        <v>1</v>
      </c>
    </row>
    <row r="19" spans="1:7" x14ac:dyDescent="0.2">
      <c r="A19" t="str">
        <f>Louisa_wConduits_Input_CSV!B19</f>
        <v>P821</v>
      </c>
      <c r="B19" t="str">
        <f>_xlfn.XLOOKUP(A19,[1]Conduits_Condition!$A$2:$A$389,[1]Conduits_Condition!$B$2:$B$389)</f>
        <v>DI</v>
      </c>
      <c r="C19">
        <f ca="1">YEAR(TODAY())-_xlfn.XLOOKUP(A19,InstallDate!$B$2:$B$389,InstallDate!$BD$2:$BD$389)</f>
        <v>76</v>
      </c>
      <c r="D19">
        <f>Louisa_wConduits_Input_CSV!R19</f>
        <v>90.921987689999995</v>
      </c>
      <c r="E19">
        <f>Louisa_wConduits_Input_CSV!S19</f>
        <v>6</v>
      </c>
      <c r="F19">
        <f ca="1">_xlfn.XLOOKUP(A19,[1]LEYP_Input!A$2:A$389,[1]LEYP_Input!$C$2:$C$389)</f>
        <v>1</v>
      </c>
      <c r="G19">
        <f>Louisa_wConduits_Input_CSV!AZ19</f>
        <v>1</v>
      </c>
    </row>
    <row r="20" spans="1:7" x14ac:dyDescent="0.2">
      <c r="A20" t="str">
        <f>Louisa_wConduits_Input_CSV!B20</f>
        <v>P823</v>
      </c>
      <c r="B20" t="str">
        <f>_xlfn.XLOOKUP(A20,[1]Conduits_Condition!$A$2:$A$389,[1]Conduits_Condition!$B$2:$B$389)</f>
        <v>DI</v>
      </c>
      <c r="C20">
        <f ca="1">YEAR(TODAY())-_xlfn.XLOOKUP(A20,InstallDate!$B$2:$B$389,InstallDate!$BD$2:$BD$389)</f>
        <v>96</v>
      </c>
      <c r="D20">
        <f>Louisa_wConduits_Input_CSV!R20</f>
        <v>28.538195909999999</v>
      </c>
      <c r="E20">
        <f>Louisa_wConduits_Input_CSV!S20</f>
        <v>6</v>
      </c>
      <c r="F20">
        <f ca="1">_xlfn.XLOOKUP(A20,[1]LEYP_Input!A$2:A$389,[1]LEYP_Input!$C$2:$C$389)</f>
        <v>1</v>
      </c>
      <c r="G20">
        <f>Louisa_wConduits_Input_CSV!AZ20</f>
        <v>1</v>
      </c>
    </row>
    <row r="21" spans="1:7" x14ac:dyDescent="0.2">
      <c r="A21" t="str">
        <f>Louisa_wConduits_Input_CSV!B21</f>
        <v>P825</v>
      </c>
      <c r="B21" t="str">
        <f>_xlfn.XLOOKUP(A21,[1]Conduits_Condition!$A$2:$A$389,[1]Conduits_Condition!$B$2:$B$389)</f>
        <v>DI</v>
      </c>
      <c r="C21">
        <f ca="1">YEAR(TODAY())-_xlfn.XLOOKUP(A21,InstallDate!$B$2:$B$389,InstallDate!$BD$2:$BD$389)</f>
        <v>96</v>
      </c>
      <c r="D21">
        <f>Louisa_wConduits_Input_CSV!R21</f>
        <v>49.045546739999999</v>
      </c>
      <c r="E21">
        <f>Louisa_wConduits_Input_CSV!S21</f>
        <v>6</v>
      </c>
      <c r="F21">
        <f ca="1">_xlfn.XLOOKUP(A21,[1]LEYP_Input!A$2:A$389,[1]LEYP_Input!$C$2:$C$389)</f>
        <v>1</v>
      </c>
      <c r="G21">
        <f>Louisa_wConduits_Input_CSV!AZ21</f>
        <v>1</v>
      </c>
    </row>
    <row r="22" spans="1:7" x14ac:dyDescent="0.2">
      <c r="A22" t="str">
        <f>Louisa_wConduits_Input_CSV!B22</f>
        <v>P827</v>
      </c>
      <c r="B22" t="str">
        <f>_xlfn.XLOOKUP(A22,[1]Conduits_Condition!$A$2:$A$389,[1]Conduits_Condition!$B$2:$B$389)</f>
        <v>DI</v>
      </c>
      <c r="C22">
        <f ca="1">YEAR(TODAY())-_xlfn.XLOOKUP(A22,InstallDate!$B$2:$B$389,InstallDate!$BD$2:$BD$389)</f>
        <v>96</v>
      </c>
      <c r="D22">
        <f>Louisa_wConduits_Input_CSV!R22</f>
        <v>16.561143940000001</v>
      </c>
      <c r="E22">
        <f>Louisa_wConduits_Input_CSV!S22</f>
        <v>6</v>
      </c>
      <c r="F22">
        <f ca="1">_xlfn.XLOOKUP(A22,[1]LEYP_Input!A$2:A$389,[1]LEYP_Input!$C$2:$C$389)</f>
        <v>1</v>
      </c>
      <c r="G22">
        <f>Louisa_wConduits_Input_CSV!AZ22</f>
        <v>1</v>
      </c>
    </row>
    <row r="23" spans="1:7" x14ac:dyDescent="0.2">
      <c r="A23" t="str">
        <f>Louisa_wConduits_Input_CSV!B23</f>
        <v>P829</v>
      </c>
      <c r="B23" t="str">
        <f>_xlfn.XLOOKUP(A23,[1]Conduits_Condition!$A$2:$A$389,[1]Conduits_Condition!$B$2:$B$389)</f>
        <v>DI</v>
      </c>
      <c r="C23">
        <f ca="1">YEAR(TODAY())-_xlfn.XLOOKUP(A23,InstallDate!$B$2:$B$389,InstallDate!$BD$2:$BD$389)</f>
        <v>96</v>
      </c>
      <c r="D23">
        <f>Louisa_wConduits_Input_CSV!R23</f>
        <v>10.041754709999999</v>
      </c>
      <c r="E23">
        <f>Louisa_wConduits_Input_CSV!S23</f>
        <v>6</v>
      </c>
      <c r="F23">
        <f ca="1">_xlfn.XLOOKUP(A23,[1]LEYP_Input!A$2:A$389,[1]LEYP_Input!$C$2:$C$389)</f>
        <v>1</v>
      </c>
      <c r="G23">
        <f>Louisa_wConduits_Input_CSV!AZ23</f>
        <v>1</v>
      </c>
    </row>
    <row r="24" spans="1:7" x14ac:dyDescent="0.2">
      <c r="A24" t="str">
        <f>Louisa_wConduits_Input_CSV!B24</f>
        <v>P831</v>
      </c>
      <c r="B24" t="str">
        <f>_xlfn.XLOOKUP(A24,[1]Conduits_Condition!$A$2:$A$389,[1]Conduits_Condition!$B$2:$B$389)</f>
        <v>DI</v>
      </c>
      <c r="C24">
        <f ca="1">YEAR(TODAY())-_xlfn.XLOOKUP(A24,InstallDate!$B$2:$B$389,InstallDate!$BD$2:$BD$389)</f>
        <v>96</v>
      </c>
      <c r="D24">
        <f>Louisa_wConduits_Input_CSV!R24</f>
        <v>13.388279470000001</v>
      </c>
      <c r="E24">
        <f>Louisa_wConduits_Input_CSV!S24</f>
        <v>6</v>
      </c>
      <c r="F24">
        <f ca="1">_xlfn.XLOOKUP(A24,[1]LEYP_Input!A$2:A$389,[1]LEYP_Input!$C$2:$C$389)</f>
        <v>1</v>
      </c>
      <c r="G24">
        <f>Louisa_wConduits_Input_CSV!AZ24</f>
        <v>1</v>
      </c>
    </row>
    <row r="25" spans="1:7" x14ac:dyDescent="0.2">
      <c r="A25" t="str">
        <f>Louisa_wConduits_Input_CSV!B25</f>
        <v>P833</v>
      </c>
      <c r="B25" t="str">
        <f>_xlfn.XLOOKUP(A25,[1]Conduits_Condition!$A$2:$A$389,[1]Conduits_Condition!$B$2:$B$389)</f>
        <v>DI</v>
      </c>
      <c r="C25">
        <f ca="1">YEAR(TODAY())-_xlfn.XLOOKUP(A25,InstallDate!$B$2:$B$389,InstallDate!$BD$2:$BD$389)</f>
        <v>96</v>
      </c>
      <c r="D25">
        <f>Louisa_wConduits_Input_CSV!R25</f>
        <v>13.749104839999999</v>
      </c>
      <c r="E25">
        <f>Louisa_wConduits_Input_CSV!S25</f>
        <v>6</v>
      </c>
      <c r="F25">
        <f ca="1">_xlfn.XLOOKUP(A25,[1]LEYP_Input!A$2:A$389,[1]LEYP_Input!$C$2:$C$389)</f>
        <v>1</v>
      </c>
      <c r="G25">
        <f>Louisa_wConduits_Input_CSV!AZ25</f>
        <v>1</v>
      </c>
    </row>
    <row r="26" spans="1:7" x14ac:dyDescent="0.2">
      <c r="A26" t="str">
        <f>Louisa_wConduits_Input_CSV!B26</f>
        <v>P835</v>
      </c>
      <c r="B26" t="str">
        <f>_xlfn.XLOOKUP(A26,[1]Conduits_Condition!$A$2:$A$389,[1]Conduits_Condition!$B$2:$B$389)</f>
        <v>DI</v>
      </c>
      <c r="C26">
        <f ca="1">YEAR(TODAY())-_xlfn.XLOOKUP(A26,InstallDate!$B$2:$B$389,InstallDate!$BD$2:$BD$389)</f>
        <v>96</v>
      </c>
      <c r="D26">
        <f>Louisa_wConduits_Input_CSV!R26</f>
        <v>124.5424388</v>
      </c>
      <c r="E26">
        <f>Louisa_wConduits_Input_CSV!S26</f>
        <v>6</v>
      </c>
      <c r="F26">
        <f ca="1">_xlfn.XLOOKUP(A26,[1]LEYP_Input!A$2:A$389,[1]LEYP_Input!$C$2:$C$389)</f>
        <v>1</v>
      </c>
      <c r="G26">
        <f>Louisa_wConduits_Input_CSV!AZ26</f>
        <v>1</v>
      </c>
    </row>
    <row r="27" spans="1:7" x14ac:dyDescent="0.2">
      <c r="A27" t="str">
        <f>Louisa_wConduits_Input_CSV!B27</f>
        <v>P837</v>
      </c>
      <c r="B27" t="str">
        <f>_xlfn.XLOOKUP(A27,[1]Conduits_Condition!$A$2:$A$389,[1]Conduits_Condition!$B$2:$B$389)</f>
        <v>DI</v>
      </c>
      <c r="C27">
        <f ca="1">YEAR(TODAY())-_xlfn.XLOOKUP(A27,InstallDate!$B$2:$B$389,InstallDate!$BD$2:$BD$389)</f>
        <v>96</v>
      </c>
      <c r="D27">
        <f>Louisa_wConduits_Input_CSV!R27</f>
        <v>66.744550360000005</v>
      </c>
      <c r="E27">
        <f>Louisa_wConduits_Input_CSV!S27</f>
        <v>6</v>
      </c>
      <c r="F27">
        <f ca="1">_xlfn.XLOOKUP(A27,[1]LEYP_Input!A$2:A$389,[1]LEYP_Input!$C$2:$C$389)</f>
        <v>1</v>
      </c>
      <c r="G27">
        <f>Louisa_wConduits_Input_CSV!AZ27</f>
        <v>1</v>
      </c>
    </row>
    <row r="28" spans="1:7" x14ac:dyDescent="0.2">
      <c r="A28" t="str">
        <f>Louisa_wConduits_Input_CSV!B28</f>
        <v>P839</v>
      </c>
      <c r="B28" t="str">
        <f>_xlfn.XLOOKUP(A28,[1]Conduits_Condition!$A$2:$A$389,[1]Conduits_Condition!$B$2:$B$389)</f>
        <v>DI</v>
      </c>
      <c r="C28">
        <f ca="1">YEAR(TODAY())-_xlfn.XLOOKUP(A28,InstallDate!$B$2:$B$389,InstallDate!$BD$2:$BD$389)</f>
        <v>96</v>
      </c>
      <c r="D28">
        <f>Louisa_wConduits_Input_CSV!R28</f>
        <v>47.82082484</v>
      </c>
      <c r="E28">
        <f>Louisa_wConduits_Input_CSV!S28</f>
        <v>6</v>
      </c>
      <c r="F28">
        <f ca="1">_xlfn.XLOOKUP(A28,[1]LEYP_Input!A$2:A$389,[1]LEYP_Input!$C$2:$C$389)</f>
        <v>1</v>
      </c>
      <c r="G28">
        <f>Louisa_wConduits_Input_CSV!AZ28</f>
        <v>1</v>
      </c>
    </row>
    <row r="29" spans="1:7" x14ac:dyDescent="0.2">
      <c r="A29" t="str">
        <f>Louisa_wConduits_Input_CSV!B29</f>
        <v>P841</v>
      </c>
      <c r="B29" t="str">
        <f>_xlfn.XLOOKUP(A29,[1]Conduits_Condition!$A$2:$A$389,[1]Conduits_Condition!$B$2:$B$389)</f>
        <v>DI</v>
      </c>
      <c r="C29">
        <f ca="1">YEAR(TODAY())-_xlfn.XLOOKUP(A29,InstallDate!$B$2:$B$389,InstallDate!$BD$2:$BD$389)</f>
        <v>96</v>
      </c>
      <c r="D29">
        <f>Louisa_wConduits_Input_CSV!R29</f>
        <v>56.957837509999997</v>
      </c>
      <c r="E29">
        <f>Louisa_wConduits_Input_CSV!S29</f>
        <v>6</v>
      </c>
      <c r="F29">
        <f ca="1">_xlfn.XLOOKUP(A29,[1]LEYP_Input!A$2:A$389,[1]LEYP_Input!$C$2:$C$389)</f>
        <v>1</v>
      </c>
      <c r="G29">
        <f>Louisa_wConduits_Input_CSV!AZ29</f>
        <v>1</v>
      </c>
    </row>
    <row r="30" spans="1:7" x14ac:dyDescent="0.2">
      <c r="A30" t="str">
        <f>Louisa_wConduits_Input_CSV!B30</f>
        <v>P843</v>
      </c>
      <c r="B30" t="str">
        <f>_xlfn.XLOOKUP(A30,[1]Conduits_Condition!$A$2:$A$389,[1]Conduits_Condition!$B$2:$B$389)</f>
        <v>DI</v>
      </c>
      <c r="C30">
        <f ca="1">YEAR(TODAY())-_xlfn.XLOOKUP(A30,InstallDate!$B$2:$B$389,InstallDate!$BD$2:$BD$389)</f>
        <v>96</v>
      </c>
      <c r="D30">
        <f>Louisa_wConduits_Input_CSV!R30</f>
        <v>74.229809290000006</v>
      </c>
      <c r="E30">
        <f>Louisa_wConduits_Input_CSV!S30</f>
        <v>6</v>
      </c>
      <c r="F30">
        <f ca="1">_xlfn.XLOOKUP(A30,[1]LEYP_Input!A$2:A$389,[1]LEYP_Input!$C$2:$C$389)</f>
        <v>1</v>
      </c>
      <c r="G30">
        <f>Louisa_wConduits_Input_CSV!AZ30</f>
        <v>1</v>
      </c>
    </row>
    <row r="31" spans="1:7" x14ac:dyDescent="0.2">
      <c r="A31" t="str">
        <f>Louisa_wConduits_Input_CSV!B31</f>
        <v>P845</v>
      </c>
      <c r="B31" t="str">
        <f>_xlfn.XLOOKUP(A31,[1]Conduits_Condition!$A$2:$A$389,[1]Conduits_Condition!$B$2:$B$389)</f>
        <v>DI</v>
      </c>
      <c r="C31">
        <f ca="1">YEAR(TODAY())-_xlfn.XLOOKUP(A31,InstallDate!$B$2:$B$389,InstallDate!$BD$2:$BD$389)</f>
        <v>96</v>
      </c>
      <c r="D31">
        <f>Louisa_wConduits_Input_CSV!R31</f>
        <v>69.644971569999996</v>
      </c>
      <c r="E31">
        <f>Louisa_wConduits_Input_CSV!S31</f>
        <v>6</v>
      </c>
      <c r="F31">
        <f ca="1">_xlfn.XLOOKUP(A31,[1]LEYP_Input!A$2:A$389,[1]LEYP_Input!$C$2:$C$389)</f>
        <v>1</v>
      </c>
      <c r="G31">
        <f>Louisa_wConduits_Input_CSV!AZ31</f>
        <v>1</v>
      </c>
    </row>
    <row r="32" spans="1:7" x14ac:dyDescent="0.2">
      <c r="A32" t="str">
        <f>Louisa_wConduits_Input_CSV!B32</f>
        <v>P847</v>
      </c>
      <c r="B32" t="str">
        <f>_xlfn.XLOOKUP(A32,[1]Conduits_Condition!$A$2:$A$389,[1]Conduits_Condition!$B$2:$B$389)</f>
        <v>DI</v>
      </c>
      <c r="C32">
        <f ca="1">YEAR(TODAY())-_xlfn.XLOOKUP(A32,InstallDate!$B$2:$B$389,InstallDate!$BD$2:$BD$389)</f>
        <v>96</v>
      </c>
      <c r="D32">
        <f>Louisa_wConduits_Input_CSV!R32</f>
        <v>63.293763910000003</v>
      </c>
      <c r="E32">
        <f>Louisa_wConduits_Input_CSV!S32</f>
        <v>6</v>
      </c>
      <c r="F32">
        <f ca="1">_xlfn.XLOOKUP(A32,[1]LEYP_Input!A$2:A$389,[1]LEYP_Input!$C$2:$C$389)</f>
        <v>1</v>
      </c>
      <c r="G32">
        <f>Louisa_wConduits_Input_CSV!AZ32</f>
        <v>1</v>
      </c>
    </row>
    <row r="33" spans="1:7" x14ac:dyDescent="0.2">
      <c r="A33" t="str">
        <f>Louisa_wConduits_Input_CSV!B33</f>
        <v>P849</v>
      </c>
      <c r="B33" t="str">
        <f>_xlfn.XLOOKUP(A33,[1]Conduits_Condition!$A$2:$A$389,[1]Conduits_Condition!$B$2:$B$389)</f>
        <v>DI</v>
      </c>
      <c r="C33">
        <f ca="1">YEAR(TODAY())-_xlfn.XLOOKUP(A33,InstallDate!$B$2:$B$389,InstallDate!$BD$2:$BD$389)</f>
        <v>96</v>
      </c>
      <c r="D33">
        <f>Louisa_wConduits_Input_CSV!R33</f>
        <v>20.320687540000002</v>
      </c>
      <c r="E33">
        <f>Louisa_wConduits_Input_CSV!S33</f>
        <v>6</v>
      </c>
      <c r="F33">
        <f ca="1">_xlfn.XLOOKUP(A33,[1]LEYP_Input!A$2:A$389,[1]LEYP_Input!$C$2:$C$389)</f>
        <v>1</v>
      </c>
      <c r="G33">
        <f>Louisa_wConduits_Input_CSV!AZ33</f>
        <v>1</v>
      </c>
    </row>
    <row r="34" spans="1:7" x14ac:dyDescent="0.2">
      <c r="A34" t="str">
        <f>Louisa_wConduits_Input_CSV!B34</f>
        <v>P851</v>
      </c>
      <c r="B34" t="str">
        <f>_xlfn.XLOOKUP(A34,[1]Conduits_Condition!$A$2:$A$389,[1]Conduits_Condition!$B$2:$B$389)</f>
        <v>DI</v>
      </c>
      <c r="C34">
        <f ca="1">YEAR(TODAY())-_xlfn.XLOOKUP(A34,InstallDate!$B$2:$B$389,InstallDate!$BD$2:$BD$389)</f>
        <v>96</v>
      </c>
      <c r="D34">
        <f>Louisa_wConduits_Input_CSV!R34</f>
        <v>35.022262990000002</v>
      </c>
      <c r="E34">
        <f>Louisa_wConduits_Input_CSV!S34</f>
        <v>6</v>
      </c>
      <c r="F34">
        <f ca="1">_xlfn.XLOOKUP(A34,[1]LEYP_Input!A$2:A$389,[1]LEYP_Input!$C$2:$C$389)</f>
        <v>1</v>
      </c>
      <c r="G34">
        <f>Louisa_wConduits_Input_CSV!AZ34</f>
        <v>1</v>
      </c>
    </row>
    <row r="35" spans="1:7" x14ac:dyDescent="0.2">
      <c r="A35" t="str">
        <f>Louisa_wConduits_Input_CSV!B35</f>
        <v>P853</v>
      </c>
      <c r="B35" t="str">
        <f>_xlfn.XLOOKUP(A35,[1]Conduits_Condition!$A$2:$A$389,[1]Conduits_Condition!$B$2:$B$389)</f>
        <v>DI</v>
      </c>
      <c r="C35">
        <f ca="1">YEAR(TODAY())-_xlfn.XLOOKUP(A35,InstallDate!$B$2:$B$389,InstallDate!$BD$2:$BD$389)</f>
        <v>96</v>
      </c>
      <c r="D35">
        <f>Louisa_wConduits_Input_CSV!R35</f>
        <v>5.4477762739999998</v>
      </c>
      <c r="E35">
        <f>Louisa_wConduits_Input_CSV!S35</f>
        <v>6</v>
      </c>
      <c r="F35">
        <f ca="1">_xlfn.XLOOKUP(A35,[1]LEYP_Input!A$2:A$389,[1]LEYP_Input!$C$2:$C$389)</f>
        <v>1</v>
      </c>
      <c r="G35">
        <f>Louisa_wConduits_Input_CSV!AZ35</f>
        <v>1</v>
      </c>
    </row>
    <row r="36" spans="1:7" x14ac:dyDescent="0.2">
      <c r="A36" t="str">
        <f>Louisa_wConduits_Input_CSV!B36</f>
        <v>P855</v>
      </c>
      <c r="B36" t="str">
        <f>_xlfn.XLOOKUP(A36,[1]Conduits_Condition!$A$2:$A$389,[1]Conduits_Condition!$B$2:$B$389)</f>
        <v>DI</v>
      </c>
      <c r="C36">
        <f ca="1">YEAR(TODAY())-_xlfn.XLOOKUP(A36,InstallDate!$B$2:$B$389,InstallDate!$BD$2:$BD$389)</f>
        <v>96</v>
      </c>
      <c r="D36">
        <f>Louisa_wConduits_Input_CSV!R36</f>
        <v>44.955468209999999</v>
      </c>
      <c r="E36">
        <f>Louisa_wConduits_Input_CSV!S36</f>
        <v>6</v>
      </c>
      <c r="F36">
        <f ca="1">_xlfn.XLOOKUP(A36,[1]LEYP_Input!A$2:A$389,[1]LEYP_Input!$C$2:$C$389)</f>
        <v>1</v>
      </c>
      <c r="G36">
        <f>Louisa_wConduits_Input_CSV!AZ36</f>
        <v>1</v>
      </c>
    </row>
    <row r="37" spans="1:7" x14ac:dyDescent="0.2">
      <c r="A37" t="str">
        <f>Louisa_wConduits_Input_CSV!B37</f>
        <v>P857</v>
      </c>
      <c r="B37" t="str">
        <f>_xlfn.XLOOKUP(A37,[1]Conduits_Condition!$A$2:$A$389,[1]Conduits_Condition!$B$2:$B$389)</f>
        <v>DI</v>
      </c>
      <c r="C37">
        <f ca="1">YEAR(TODAY())-_xlfn.XLOOKUP(A37,InstallDate!$B$2:$B$389,InstallDate!$BD$2:$BD$389)</f>
        <v>96</v>
      </c>
      <c r="D37">
        <f>Louisa_wConduits_Input_CSV!R37</f>
        <v>24.914466359999999</v>
      </c>
      <c r="E37">
        <f>Louisa_wConduits_Input_CSV!S37</f>
        <v>6</v>
      </c>
      <c r="F37">
        <f ca="1">_xlfn.XLOOKUP(A37,[1]LEYP_Input!A$2:A$389,[1]LEYP_Input!$C$2:$C$389)</f>
        <v>1</v>
      </c>
      <c r="G37">
        <f>Louisa_wConduits_Input_CSV!AZ37</f>
        <v>1</v>
      </c>
    </row>
    <row r="38" spans="1:7" x14ac:dyDescent="0.2">
      <c r="A38" t="str">
        <f>Louisa_wConduits_Input_CSV!B38</f>
        <v>P859</v>
      </c>
      <c r="B38" t="str">
        <f>_xlfn.XLOOKUP(A38,[1]Conduits_Condition!$A$2:$A$389,[1]Conduits_Condition!$B$2:$B$389)</f>
        <v>DI</v>
      </c>
      <c r="C38">
        <f ca="1">YEAR(TODAY())-_xlfn.XLOOKUP(A38,InstallDate!$B$2:$B$389,InstallDate!$BD$2:$BD$389)</f>
        <v>96</v>
      </c>
      <c r="D38">
        <f>Louisa_wConduits_Input_CSV!R38</f>
        <v>42.947179009999999</v>
      </c>
      <c r="E38">
        <f>Louisa_wConduits_Input_CSV!S38</f>
        <v>6</v>
      </c>
      <c r="F38">
        <f ca="1">_xlfn.XLOOKUP(A38,[1]LEYP_Input!A$2:A$389,[1]LEYP_Input!$C$2:$C$389)</f>
        <v>1</v>
      </c>
      <c r="G38">
        <f>Louisa_wConduits_Input_CSV!AZ38</f>
        <v>1</v>
      </c>
    </row>
    <row r="39" spans="1:7" x14ac:dyDescent="0.2">
      <c r="A39" t="str">
        <f>Louisa_wConduits_Input_CSV!B39</f>
        <v>P861</v>
      </c>
      <c r="B39" t="str">
        <f>_xlfn.XLOOKUP(A39,[1]Conduits_Condition!$A$2:$A$389,[1]Conduits_Condition!$B$2:$B$389)</f>
        <v>DI</v>
      </c>
      <c r="C39">
        <f ca="1">YEAR(TODAY())-_xlfn.XLOOKUP(A39,InstallDate!$B$2:$B$389,InstallDate!$BD$2:$BD$389)</f>
        <v>96</v>
      </c>
      <c r="D39">
        <f>Louisa_wConduits_Input_CSV!R39</f>
        <v>27.094653829999999</v>
      </c>
      <c r="E39">
        <f>Louisa_wConduits_Input_CSV!S39</f>
        <v>6</v>
      </c>
      <c r="F39">
        <f ca="1">_xlfn.XLOOKUP(A39,[1]LEYP_Input!A$2:A$389,[1]LEYP_Input!$C$2:$C$389)</f>
        <v>1</v>
      </c>
      <c r="G39">
        <f>Louisa_wConduits_Input_CSV!AZ39</f>
        <v>1</v>
      </c>
    </row>
    <row r="40" spans="1:7" x14ac:dyDescent="0.2">
      <c r="A40" t="str">
        <f>Louisa_wConduits_Input_CSV!B40</f>
        <v>P863</v>
      </c>
      <c r="B40" t="str">
        <f>_xlfn.XLOOKUP(A40,[1]Conduits_Condition!$A$2:$A$389,[1]Conduits_Condition!$B$2:$B$389)</f>
        <v>DI</v>
      </c>
      <c r="C40">
        <f ca="1">YEAR(TODAY())-_xlfn.XLOOKUP(A40,InstallDate!$B$2:$B$389,InstallDate!$BD$2:$BD$389)</f>
        <v>96</v>
      </c>
      <c r="D40">
        <f>Louisa_wConduits_Input_CSV!R40</f>
        <v>46.751553950000002</v>
      </c>
      <c r="E40">
        <f>Louisa_wConduits_Input_CSV!S40</f>
        <v>6</v>
      </c>
      <c r="F40">
        <f ca="1">_xlfn.XLOOKUP(A40,[1]LEYP_Input!A$2:A$389,[1]LEYP_Input!$C$2:$C$389)</f>
        <v>1</v>
      </c>
      <c r="G40">
        <f>Louisa_wConduits_Input_CSV!AZ40</f>
        <v>1</v>
      </c>
    </row>
    <row r="41" spans="1:7" x14ac:dyDescent="0.2">
      <c r="A41" t="str">
        <f>Louisa_wConduits_Input_CSV!B41</f>
        <v>P865</v>
      </c>
      <c r="B41" t="str">
        <f>_xlfn.XLOOKUP(A41,[1]Conduits_Condition!$A$2:$A$389,[1]Conduits_Condition!$B$2:$B$389)</f>
        <v>DI</v>
      </c>
      <c r="C41">
        <f ca="1">YEAR(TODAY())-_xlfn.XLOOKUP(A41,InstallDate!$B$2:$B$389,InstallDate!$BD$2:$BD$389)</f>
        <v>96</v>
      </c>
      <c r="D41">
        <f>Louisa_wConduits_Input_CSV!R41</f>
        <v>12.93492125</v>
      </c>
      <c r="E41">
        <f>Louisa_wConduits_Input_CSV!S41</f>
        <v>6</v>
      </c>
      <c r="F41">
        <f ca="1">_xlfn.XLOOKUP(A41,[1]LEYP_Input!A$2:A$389,[1]LEYP_Input!$C$2:$C$389)</f>
        <v>1</v>
      </c>
      <c r="G41">
        <f>Louisa_wConduits_Input_CSV!AZ41</f>
        <v>1</v>
      </c>
    </row>
    <row r="42" spans="1:7" x14ac:dyDescent="0.2">
      <c r="A42" t="str">
        <f>Louisa_wConduits_Input_CSV!B42</f>
        <v>P867</v>
      </c>
      <c r="B42" t="str">
        <f>_xlfn.XLOOKUP(A42,[1]Conduits_Condition!$A$2:$A$389,[1]Conduits_Condition!$B$2:$B$389)</f>
        <v>DI</v>
      </c>
      <c r="C42">
        <f ca="1">YEAR(TODAY())-_xlfn.XLOOKUP(A42,InstallDate!$B$2:$B$389,InstallDate!$BD$2:$BD$389)</f>
        <v>96</v>
      </c>
      <c r="D42">
        <f>Louisa_wConduits_Input_CSV!R42</f>
        <v>32.960285550000002</v>
      </c>
      <c r="E42">
        <f>Louisa_wConduits_Input_CSV!S42</f>
        <v>6</v>
      </c>
      <c r="F42">
        <f ca="1">_xlfn.XLOOKUP(A42,[1]LEYP_Input!A$2:A$389,[1]LEYP_Input!$C$2:$C$389)</f>
        <v>1</v>
      </c>
      <c r="G42">
        <f>Louisa_wConduits_Input_CSV!AZ42</f>
        <v>1</v>
      </c>
    </row>
    <row r="43" spans="1:7" x14ac:dyDescent="0.2">
      <c r="A43" t="str">
        <f>Louisa_wConduits_Input_CSV!B43</f>
        <v>P869</v>
      </c>
      <c r="B43" t="str">
        <f>_xlfn.XLOOKUP(A43,[1]Conduits_Condition!$A$2:$A$389,[1]Conduits_Condition!$B$2:$B$389)</f>
        <v>DI</v>
      </c>
      <c r="C43">
        <f ca="1">YEAR(TODAY())-_xlfn.XLOOKUP(A43,InstallDate!$B$2:$B$389,InstallDate!$BD$2:$BD$389)</f>
        <v>96</v>
      </c>
      <c r="D43">
        <f>Louisa_wConduits_Input_CSV!R43</f>
        <v>25.025454880000002</v>
      </c>
      <c r="E43">
        <f>Louisa_wConduits_Input_CSV!S43</f>
        <v>6</v>
      </c>
      <c r="F43">
        <f ca="1">_xlfn.XLOOKUP(A43,[1]LEYP_Input!A$2:A$389,[1]LEYP_Input!$C$2:$C$389)</f>
        <v>1</v>
      </c>
      <c r="G43">
        <f>Louisa_wConduits_Input_CSV!AZ43</f>
        <v>1</v>
      </c>
    </row>
    <row r="44" spans="1:7" x14ac:dyDescent="0.2">
      <c r="A44" t="str">
        <f>Louisa_wConduits_Input_CSV!B44</f>
        <v>P871</v>
      </c>
      <c r="B44" t="str">
        <f>_xlfn.XLOOKUP(A44,[1]Conduits_Condition!$A$2:$A$389,[1]Conduits_Condition!$B$2:$B$389)</f>
        <v>DI</v>
      </c>
      <c r="C44">
        <f ca="1">YEAR(TODAY())-_xlfn.XLOOKUP(A44,InstallDate!$B$2:$B$389,InstallDate!$BD$2:$BD$389)</f>
        <v>76</v>
      </c>
      <c r="D44">
        <f>Louisa_wConduits_Input_CSV!R44</f>
        <v>0.86057297899999996</v>
      </c>
      <c r="E44">
        <f>Louisa_wConduits_Input_CSV!S44</f>
        <v>6</v>
      </c>
      <c r="F44">
        <f ca="1">_xlfn.XLOOKUP(A44,[1]LEYP_Input!A$2:A$389,[1]LEYP_Input!$C$2:$C$389)</f>
        <v>1</v>
      </c>
      <c r="G44">
        <f>Louisa_wConduits_Input_CSV!AZ44</f>
        <v>1</v>
      </c>
    </row>
    <row r="45" spans="1:7" x14ac:dyDescent="0.2">
      <c r="A45" t="str">
        <f>Louisa_wConduits_Input_CSV!B45</f>
        <v>P873</v>
      </c>
      <c r="B45" t="str">
        <f>_xlfn.XLOOKUP(A45,[1]Conduits_Condition!$A$2:$A$389,[1]Conduits_Condition!$B$2:$B$389)</f>
        <v>DI</v>
      </c>
      <c r="C45">
        <f ca="1">YEAR(TODAY())-_xlfn.XLOOKUP(A45,InstallDate!$B$2:$B$389,InstallDate!$BD$2:$BD$389)</f>
        <v>96</v>
      </c>
      <c r="D45">
        <f>Louisa_wConduits_Input_CSV!R45</f>
        <v>1.8717631859999999</v>
      </c>
      <c r="E45">
        <f>Louisa_wConduits_Input_CSV!S45</f>
        <v>6</v>
      </c>
      <c r="F45">
        <f ca="1">_xlfn.XLOOKUP(A45,[1]LEYP_Input!A$2:A$389,[1]LEYP_Input!$C$2:$C$389)</f>
        <v>1</v>
      </c>
      <c r="G45">
        <f>Louisa_wConduits_Input_CSV!AZ45</f>
        <v>1</v>
      </c>
    </row>
    <row r="46" spans="1:7" x14ac:dyDescent="0.2">
      <c r="A46" t="str">
        <f>Louisa_wConduits_Input_CSV!B46</f>
        <v>P875</v>
      </c>
      <c r="B46" t="str">
        <f>_xlfn.XLOOKUP(A46,[1]Conduits_Condition!$A$2:$A$389,[1]Conduits_Condition!$B$2:$B$389)</f>
        <v>DI</v>
      </c>
      <c r="C46">
        <f ca="1">YEAR(TODAY())-_xlfn.XLOOKUP(A46,InstallDate!$B$2:$B$389,InstallDate!$BD$2:$BD$389)</f>
        <v>96</v>
      </c>
      <c r="D46">
        <f>Louisa_wConduits_Input_CSV!R46</f>
        <v>13.54247174</v>
      </c>
      <c r="E46">
        <f>Louisa_wConduits_Input_CSV!S46</f>
        <v>6</v>
      </c>
      <c r="F46">
        <f ca="1">_xlfn.XLOOKUP(A46,[1]LEYP_Input!A$2:A$389,[1]LEYP_Input!$C$2:$C$389)</f>
        <v>1</v>
      </c>
      <c r="G46">
        <f>Louisa_wConduits_Input_CSV!AZ46</f>
        <v>1</v>
      </c>
    </row>
    <row r="47" spans="1:7" x14ac:dyDescent="0.2">
      <c r="A47" t="str">
        <f>Louisa_wConduits_Input_CSV!B47</f>
        <v>P877</v>
      </c>
      <c r="B47" t="str">
        <f>_xlfn.XLOOKUP(A47,[1]Conduits_Condition!$A$2:$A$389,[1]Conduits_Condition!$B$2:$B$389)</f>
        <v>DI</v>
      </c>
      <c r="C47">
        <f ca="1">YEAR(TODAY())-_xlfn.XLOOKUP(A47,InstallDate!$B$2:$B$389,InstallDate!$BD$2:$BD$389)</f>
        <v>96</v>
      </c>
      <c r="D47">
        <f>Louisa_wConduits_Input_CSV!R47</f>
        <v>0.83515927999999995</v>
      </c>
      <c r="E47">
        <f>Louisa_wConduits_Input_CSV!S47</f>
        <v>6</v>
      </c>
      <c r="F47">
        <f ca="1">_xlfn.XLOOKUP(A47,[1]LEYP_Input!A$2:A$389,[1]LEYP_Input!$C$2:$C$389)</f>
        <v>1</v>
      </c>
      <c r="G47">
        <f>Louisa_wConduits_Input_CSV!AZ47</f>
        <v>1</v>
      </c>
    </row>
    <row r="48" spans="1:7" x14ac:dyDescent="0.2">
      <c r="A48" t="str">
        <f>Louisa_wConduits_Input_CSV!B48</f>
        <v>P879</v>
      </c>
      <c r="B48" t="str">
        <f>_xlfn.XLOOKUP(A48,[1]Conduits_Condition!$A$2:$A$389,[1]Conduits_Condition!$B$2:$B$389)</f>
        <v>DI</v>
      </c>
      <c r="C48">
        <f ca="1">YEAR(TODAY())-_xlfn.XLOOKUP(A48,InstallDate!$B$2:$B$389,InstallDate!$BD$2:$BD$389)</f>
        <v>96</v>
      </c>
      <c r="D48">
        <f>Louisa_wConduits_Input_CSV!R48</f>
        <v>5.6539048249999997</v>
      </c>
      <c r="E48">
        <f>Louisa_wConduits_Input_CSV!S48</f>
        <v>6</v>
      </c>
      <c r="F48">
        <f ca="1">_xlfn.XLOOKUP(A48,[1]LEYP_Input!A$2:A$389,[1]LEYP_Input!$C$2:$C$389)</f>
        <v>1</v>
      </c>
      <c r="G48">
        <f>Louisa_wConduits_Input_CSV!AZ48</f>
        <v>1</v>
      </c>
    </row>
    <row r="49" spans="1:7" x14ac:dyDescent="0.2">
      <c r="A49" t="str">
        <f>Louisa_wConduits_Input_CSV!B49</f>
        <v>P881</v>
      </c>
      <c r="B49" t="str">
        <f>_xlfn.XLOOKUP(A49,[1]Conduits_Condition!$A$2:$A$389,[1]Conduits_Condition!$B$2:$B$389)</f>
        <v>DI</v>
      </c>
      <c r="C49">
        <f ca="1">YEAR(TODAY())-_xlfn.XLOOKUP(A49,InstallDate!$B$2:$B$389,InstallDate!$BD$2:$BD$389)</f>
        <v>76</v>
      </c>
      <c r="D49">
        <f>Louisa_wConduits_Input_CSV!R49</f>
        <v>6.0621357729999996</v>
      </c>
      <c r="E49">
        <f>Louisa_wConduits_Input_CSV!S49</f>
        <v>6</v>
      </c>
      <c r="F49">
        <f ca="1">_xlfn.XLOOKUP(A49,[1]LEYP_Input!A$2:A$389,[1]LEYP_Input!$C$2:$C$389)</f>
        <v>1</v>
      </c>
      <c r="G49">
        <f>Louisa_wConduits_Input_CSV!AZ49</f>
        <v>2</v>
      </c>
    </row>
    <row r="50" spans="1:7" x14ac:dyDescent="0.2">
      <c r="A50" t="str">
        <f>Louisa_wConduits_Input_CSV!B50</f>
        <v>P883</v>
      </c>
      <c r="B50" t="str">
        <f>_xlfn.XLOOKUP(A50,[1]Conduits_Condition!$A$2:$A$389,[1]Conduits_Condition!$B$2:$B$389)</f>
        <v>DI</v>
      </c>
      <c r="C50">
        <f ca="1">YEAR(TODAY())-_xlfn.XLOOKUP(A50,InstallDate!$B$2:$B$389,InstallDate!$BD$2:$BD$389)</f>
        <v>46</v>
      </c>
      <c r="D50">
        <f>Louisa_wConduits_Input_CSV!R50</f>
        <v>30.059090510000001</v>
      </c>
      <c r="E50">
        <f>Louisa_wConduits_Input_CSV!S50</f>
        <v>6</v>
      </c>
      <c r="F50">
        <f ca="1">_xlfn.XLOOKUP(A50,[1]LEYP_Input!A$2:A$389,[1]LEYP_Input!$C$2:$C$389)</f>
        <v>1</v>
      </c>
      <c r="G50">
        <f>Louisa_wConduits_Input_CSV!AZ50</f>
        <v>1</v>
      </c>
    </row>
    <row r="51" spans="1:7" x14ac:dyDescent="0.2">
      <c r="A51" t="str">
        <f>Louisa_wConduits_Input_CSV!B51</f>
        <v>P885</v>
      </c>
      <c r="B51" t="str">
        <f>_xlfn.XLOOKUP(A51,[1]Conduits_Condition!$A$2:$A$389,[1]Conduits_Condition!$B$2:$B$389)</f>
        <v>DI</v>
      </c>
      <c r="C51">
        <f ca="1">YEAR(TODAY())-_xlfn.XLOOKUP(A51,InstallDate!$B$2:$B$389,InstallDate!$BD$2:$BD$389)</f>
        <v>76</v>
      </c>
      <c r="D51">
        <f>Louisa_wConduits_Input_CSV!R51</f>
        <v>13.70096829</v>
      </c>
      <c r="E51">
        <f>Louisa_wConduits_Input_CSV!S51</f>
        <v>6</v>
      </c>
      <c r="F51">
        <f ca="1">_xlfn.XLOOKUP(A51,[1]LEYP_Input!A$2:A$389,[1]LEYP_Input!$C$2:$C$389)</f>
        <v>1</v>
      </c>
      <c r="G51">
        <f>Louisa_wConduits_Input_CSV!AZ51</f>
        <v>2</v>
      </c>
    </row>
    <row r="52" spans="1:7" x14ac:dyDescent="0.2">
      <c r="A52" t="str">
        <f>Louisa_wConduits_Input_CSV!B52</f>
        <v>P887</v>
      </c>
      <c r="B52" t="str">
        <f>_xlfn.XLOOKUP(A52,[1]Conduits_Condition!$A$2:$A$389,[1]Conduits_Condition!$B$2:$B$389)</f>
        <v>DI</v>
      </c>
      <c r="C52">
        <f ca="1">YEAR(TODAY())-_xlfn.XLOOKUP(A52,InstallDate!$B$2:$B$389,InstallDate!$BD$2:$BD$389)</f>
        <v>76</v>
      </c>
      <c r="D52">
        <f>Louisa_wConduits_Input_CSV!R52</f>
        <v>3.2730925320000002</v>
      </c>
      <c r="E52">
        <f>Louisa_wConduits_Input_CSV!S52</f>
        <v>6</v>
      </c>
      <c r="F52">
        <f ca="1">_xlfn.XLOOKUP(A52,[1]LEYP_Input!A$2:A$389,[1]LEYP_Input!$C$2:$C$389)</f>
        <v>1</v>
      </c>
      <c r="G52">
        <f>Louisa_wConduits_Input_CSV!AZ52</f>
        <v>2</v>
      </c>
    </row>
    <row r="53" spans="1:7" x14ac:dyDescent="0.2">
      <c r="A53" t="str">
        <f>Louisa_wConduits_Input_CSV!B53</f>
        <v>P889</v>
      </c>
      <c r="B53" t="str">
        <f>_xlfn.XLOOKUP(A53,[1]Conduits_Condition!$A$2:$A$389,[1]Conduits_Condition!$B$2:$B$389)</f>
        <v>DI</v>
      </c>
      <c r="C53">
        <f ca="1">YEAR(TODAY())-_xlfn.XLOOKUP(A53,InstallDate!$B$2:$B$389,InstallDate!$BD$2:$BD$389)</f>
        <v>96</v>
      </c>
      <c r="D53">
        <f>Louisa_wConduits_Input_CSV!R53</f>
        <v>20.36281224</v>
      </c>
      <c r="E53">
        <f>Louisa_wConduits_Input_CSV!S53</f>
        <v>6</v>
      </c>
      <c r="F53">
        <f ca="1">_xlfn.XLOOKUP(A53,[1]LEYP_Input!A$2:A$389,[1]LEYP_Input!$C$2:$C$389)</f>
        <v>1</v>
      </c>
      <c r="G53">
        <f>Louisa_wConduits_Input_CSV!AZ53</f>
        <v>1</v>
      </c>
    </row>
    <row r="54" spans="1:7" x14ac:dyDescent="0.2">
      <c r="A54" t="str">
        <f>Louisa_wConduits_Input_CSV!B54</f>
        <v>P891</v>
      </c>
      <c r="B54" t="str">
        <f>_xlfn.XLOOKUP(A54,[1]Conduits_Condition!$A$2:$A$389,[1]Conduits_Condition!$B$2:$B$389)</f>
        <v>DI</v>
      </c>
      <c r="C54">
        <f ca="1">YEAR(TODAY())-_xlfn.XLOOKUP(A54,InstallDate!$B$2:$B$389,InstallDate!$BD$2:$BD$389)</f>
        <v>96</v>
      </c>
      <c r="D54">
        <f>Louisa_wConduits_Input_CSV!R54</f>
        <v>16.89905048</v>
      </c>
      <c r="E54">
        <f>Louisa_wConduits_Input_CSV!S54</f>
        <v>6</v>
      </c>
      <c r="F54">
        <f ca="1">_xlfn.XLOOKUP(A54,[1]LEYP_Input!A$2:A$389,[1]LEYP_Input!$C$2:$C$389)</f>
        <v>1</v>
      </c>
      <c r="G54">
        <f>Louisa_wConduits_Input_CSV!AZ54</f>
        <v>1</v>
      </c>
    </row>
    <row r="55" spans="1:7" x14ac:dyDescent="0.2">
      <c r="A55" t="str">
        <f>Louisa_wConduits_Input_CSV!B55</f>
        <v>P893</v>
      </c>
      <c r="B55" t="str">
        <f>_xlfn.XLOOKUP(A55,[1]Conduits_Condition!$A$2:$A$389,[1]Conduits_Condition!$B$2:$B$389)</f>
        <v>DI</v>
      </c>
      <c r="C55">
        <f ca="1">YEAR(TODAY())-_xlfn.XLOOKUP(A55,InstallDate!$B$2:$B$389,InstallDate!$BD$2:$BD$389)</f>
        <v>46</v>
      </c>
      <c r="D55">
        <f>Louisa_wConduits_Input_CSV!R55</f>
        <v>74.852943460000006</v>
      </c>
      <c r="E55">
        <f>Louisa_wConduits_Input_CSV!S55</f>
        <v>6</v>
      </c>
      <c r="F55">
        <f ca="1">_xlfn.XLOOKUP(A55,[1]LEYP_Input!A$2:A$389,[1]LEYP_Input!$C$2:$C$389)</f>
        <v>1</v>
      </c>
      <c r="G55">
        <f>Louisa_wConduits_Input_CSV!AZ55</f>
        <v>1</v>
      </c>
    </row>
    <row r="56" spans="1:7" x14ac:dyDescent="0.2">
      <c r="A56" t="str">
        <f>Louisa_wConduits_Input_CSV!B56</f>
        <v>P895</v>
      </c>
      <c r="B56" t="str">
        <f>_xlfn.XLOOKUP(A56,[1]Conduits_Condition!$A$2:$A$389,[1]Conduits_Condition!$B$2:$B$389)</f>
        <v>DI</v>
      </c>
      <c r="C56">
        <f ca="1">YEAR(TODAY())-_xlfn.XLOOKUP(A56,InstallDate!$B$2:$B$389,InstallDate!$BD$2:$BD$389)</f>
        <v>46</v>
      </c>
      <c r="D56">
        <f>Louisa_wConduits_Input_CSV!R56</f>
        <v>60.0068038</v>
      </c>
      <c r="E56">
        <f>Louisa_wConduits_Input_CSV!S56</f>
        <v>6</v>
      </c>
      <c r="F56">
        <f ca="1">_xlfn.XLOOKUP(A56,[1]LEYP_Input!A$2:A$389,[1]LEYP_Input!$C$2:$C$389)</f>
        <v>1</v>
      </c>
      <c r="G56">
        <f>Louisa_wConduits_Input_CSV!AZ56</f>
        <v>1</v>
      </c>
    </row>
    <row r="57" spans="1:7" x14ac:dyDescent="0.2">
      <c r="A57" t="str">
        <f>Louisa_wConduits_Input_CSV!B57</f>
        <v>P897</v>
      </c>
      <c r="B57" t="str">
        <f>_xlfn.XLOOKUP(A57,[1]Conduits_Condition!$A$2:$A$389,[1]Conduits_Condition!$B$2:$B$389)</f>
        <v>DI</v>
      </c>
      <c r="C57">
        <f ca="1">YEAR(TODAY())-_xlfn.XLOOKUP(A57,InstallDate!$B$2:$B$389,InstallDate!$BD$2:$BD$389)</f>
        <v>46</v>
      </c>
      <c r="D57">
        <f>Louisa_wConduits_Input_CSV!R57</f>
        <v>47.564341919999997</v>
      </c>
      <c r="E57">
        <f>Louisa_wConduits_Input_CSV!S57</f>
        <v>6</v>
      </c>
      <c r="F57">
        <f ca="1">_xlfn.XLOOKUP(A57,[1]LEYP_Input!A$2:A$389,[1]LEYP_Input!$C$2:$C$389)</f>
        <v>1</v>
      </c>
      <c r="G57">
        <f>Louisa_wConduits_Input_CSV!AZ57</f>
        <v>1</v>
      </c>
    </row>
    <row r="58" spans="1:7" x14ac:dyDescent="0.2">
      <c r="A58" t="str">
        <f>Louisa_wConduits_Input_CSV!B58</f>
        <v>P899</v>
      </c>
      <c r="B58" t="str">
        <f>_xlfn.XLOOKUP(A58,[1]Conduits_Condition!$A$2:$A$389,[1]Conduits_Condition!$B$2:$B$389)</f>
        <v>DI</v>
      </c>
      <c r="C58">
        <f ca="1">YEAR(TODAY())-_xlfn.XLOOKUP(A58,InstallDate!$B$2:$B$389,InstallDate!$BD$2:$BD$389)</f>
        <v>26</v>
      </c>
      <c r="D58">
        <f>Louisa_wConduits_Input_CSV!R58</f>
        <v>53.970921060000002</v>
      </c>
      <c r="E58">
        <f>Louisa_wConduits_Input_CSV!S58</f>
        <v>6</v>
      </c>
      <c r="F58">
        <f ca="1">_xlfn.XLOOKUP(A58,[1]LEYP_Input!A$2:A$389,[1]LEYP_Input!$C$2:$C$389)</f>
        <v>2</v>
      </c>
      <c r="G58">
        <f>Louisa_wConduits_Input_CSV!AZ58</f>
        <v>1</v>
      </c>
    </row>
    <row r="59" spans="1:7" x14ac:dyDescent="0.2">
      <c r="A59" t="str">
        <f>Louisa_wConduits_Input_CSV!B59</f>
        <v>P901</v>
      </c>
      <c r="B59" t="str">
        <f>_xlfn.XLOOKUP(A59,[1]Conduits_Condition!$A$2:$A$389,[1]Conduits_Condition!$B$2:$B$389)</f>
        <v>DI</v>
      </c>
      <c r="C59">
        <f ca="1">YEAR(TODAY())-_xlfn.XLOOKUP(A59,InstallDate!$B$2:$B$389,InstallDate!$BD$2:$BD$389)</f>
        <v>26</v>
      </c>
      <c r="D59">
        <f>Louisa_wConduits_Input_CSV!R59</f>
        <v>137.87992700000001</v>
      </c>
      <c r="E59">
        <f>Louisa_wConduits_Input_CSV!S59</f>
        <v>6</v>
      </c>
      <c r="F59">
        <f ca="1">_xlfn.XLOOKUP(A59,[1]LEYP_Input!A$2:A$389,[1]LEYP_Input!$C$2:$C$389)</f>
        <v>2</v>
      </c>
      <c r="G59">
        <f>Louisa_wConduits_Input_CSV!AZ59</f>
        <v>1</v>
      </c>
    </row>
    <row r="60" spans="1:7" x14ac:dyDescent="0.2">
      <c r="A60" t="str">
        <f>Louisa_wConduits_Input_CSV!B60</f>
        <v>P903</v>
      </c>
      <c r="B60" t="str">
        <f>_xlfn.XLOOKUP(A60,[1]Conduits_Condition!$A$2:$A$389,[1]Conduits_Condition!$B$2:$B$389)</f>
        <v>DI</v>
      </c>
      <c r="C60">
        <f ca="1">YEAR(TODAY())-_xlfn.XLOOKUP(A60,InstallDate!$B$2:$B$389,InstallDate!$BD$2:$BD$389)</f>
        <v>26</v>
      </c>
      <c r="D60">
        <f>Louisa_wConduits_Input_CSV!R60</f>
        <v>40.401627679999997</v>
      </c>
      <c r="E60">
        <f>Louisa_wConduits_Input_CSV!S60</f>
        <v>6</v>
      </c>
      <c r="F60">
        <f ca="1">_xlfn.XLOOKUP(A60,[1]LEYP_Input!A$2:A$389,[1]LEYP_Input!$C$2:$C$389)</f>
        <v>2</v>
      </c>
      <c r="G60">
        <f>Louisa_wConduits_Input_CSV!AZ60</f>
        <v>1</v>
      </c>
    </row>
    <row r="61" spans="1:7" x14ac:dyDescent="0.2">
      <c r="A61" t="str">
        <f>Louisa_wConduits_Input_CSV!B61</f>
        <v>P905</v>
      </c>
      <c r="B61" t="str">
        <f>_xlfn.XLOOKUP(A61,[1]Conduits_Condition!$A$2:$A$389,[1]Conduits_Condition!$B$2:$B$389)</f>
        <v>DI</v>
      </c>
      <c r="C61">
        <f ca="1">YEAR(TODAY())-_xlfn.XLOOKUP(A61,InstallDate!$B$2:$B$389,InstallDate!$BD$2:$BD$389)</f>
        <v>26</v>
      </c>
      <c r="D61">
        <f>Louisa_wConduits_Input_CSV!R61</f>
        <v>50.539185410000002</v>
      </c>
      <c r="E61">
        <f>Louisa_wConduits_Input_CSV!S61</f>
        <v>6</v>
      </c>
      <c r="F61">
        <f ca="1">_xlfn.XLOOKUP(A61,[1]LEYP_Input!A$2:A$389,[1]LEYP_Input!$C$2:$C$389)</f>
        <v>2</v>
      </c>
      <c r="G61">
        <f>Louisa_wConduits_Input_CSV!AZ61</f>
        <v>1</v>
      </c>
    </row>
    <row r="62" spans="1:7" x14ac:dyDescent="0.2">
      <c r="A62" t="str">
        <f>Louisa_wConduits_Input_CSV!B62</f>
        <v>P907</v>
      </c>
      <c r="B62" t="str">
        <f>_xlfn.XLOOKUP(A62,[1]Conduits_Condition!$A$2:$A$389,[1]Conduits_Condition!$B$2:$B$389)</f>
        <v>DI</v>
      </c>
      <c r="C62">
        <f ca="1">YEAR(TODAY())-_xlfn.XLOOKUP(A62,InstallDate!$B$2:$B$389,InstallDate!$BD$2:$BD$389)</f>
        <v>26</v>
      </c>
      <c r="D62">
        <f>Louisa_wConduits_Input_CSV!R62</f>
        <v>130.1747675</v>
      </c>
      <c r="E62">
        <f>Louisa_wConduits_Input_CSV!S62</f>
        <v>6</v>
      </c>
      <c r="F62">
        <f ca="1">_xlfn.XLOOKUP(A62,[1]LEYP_Input!A$2:A$389,[1]LEYP_Input!$C$2:$C$389)</f>
        <v>2</v>
      </c>
      <c r="G62">
        <f>Louisa_wConduits_Input_CSV!AZ62</f>
        <v>1</v>
      </c>
    </row>
    <row r="63" spans="1:7" x14ac:dyDescent="0.2">
      <c r="A63" t="str">
        <f>Louisa_wConduits_Input_CSV!B63</f>
        <v>P909</v>
      </c>
      <c r="B63" t="str">
        <f>_xlfn.XLOOKUP(A63,[1]Conduits_Condition!$A$2:$A$389,[1]Conduits_Condition!$B$2:$B$389)</f>
        <v>DI</v>
      </c>
      <c r="C63">
        <f ca="1">YEAR(TODAY())-_xlfn.XLOOKUP(A63,InstallDate!$B$2:$B$389,InstallDate!$BD$2:$BD$389)</f>
        <v>26</v>
      </c>
      <c r="D63">
        <f>Louisa_wConduits_Input_CSV!R63</f>
        <v>36.637534340000002</v>
      </c>
      <c r="E63">
        <f>Louisa_wConduits_Input_CSV!S63</f>
        <v>6</v>
      </c>
      <c r="F63">
        <f ca="1">_xlfn.XLOOKUP(A63,[1]LEYP_Input!A$2:A$389,[1]LEYP_Input!$C$2:$C$389)</f>
        <v>2</v>
      </c>
      <c r="G63">
        <f>Louisa_wConduits_Input_CSV!AZ63</f>
        <v>1</v>
      </c>
    </row>
    <row r="64" spans="1:7" x14ac:dyDescent="0.2">
      <c r="A64" t="str">
        <f>Louisa_wConduits_Input_CSV!B64</f>
        <v>P911</v>
      </c>
      <c r="B64" t="str">
        <f>_xlfn.XLOOKUP(A64,[1]Conduits_Condition!$A$2:$A$389,[1]Conduits_Condition!$B$2:$B$389)</f>
        <v>DI</v>
      </c>
      <c r="C64">
        <f ca="1">YEAR(TODAY())-_xlfn.XLOOKUP(A64,InstallDate!$B$2:$B$389,InstallDate!$BD$2:$BD$389)</f>
        <v>26</v>
      </c>
      <c r="D64">
        <f>Louisa_wConduits_Input_CSV!R64</f>
        <v>29.96011365</v>
      </c>
      <c r="E64">
        <f>Louisa_wConduits_Input_CSV!S64</f>
        <v>6</v>
      </c>
      <c r="F64">
        <f ca="1">_xlfn.XLOOKUP(A64,[1]LEYP_Input!A$2:A$389,[1]LEYP_Input!$C$2:$C$389)</f>
        <v>2</v>
      </c>
      <c r="G64">
        <f>Louisa_wConduits_Input_CSV!AZ64</f>
        <v>1</v>
      </c>
    </row>
    <row r="65" spans="1:7" x14ac:dyDescent="0.2">
      <c r="A65" t="str">
        <f>Louisa_wConduits_Input_CSV!B65</f>
        <v>P913</v>
      </c>
      <c r="B65" t="str">
        <f>_xlfn.XLOOKUP(A65,[1]Conduits_Condition!$A$2:$A$389,[1]Conduits_Condition!$B$2:$B$389)</f>
        <v>DI</v>
      </c>
      <c r="C65">
        <f ca="1">YEAR(TODAY())-_xlfn.XLOOKUP(A65,InstallDate!$B$2:$B$389,InstallDate!$BD$2:$BD$389)</f>
        <v>26</v>
      </c>
      <c r="D65">
        <f>Louisa_wConduits_Input_CSV!R65</f>
        <v>0.64843706300000004</v>
      </c>
      <c r="E65">
        <f>Louisa_wConduits_Input_CSV!S65</f>
        <v>6</v>
      </c>
      <c r="F65">
        <f ca="1">_xlfn.XLOOKUP(A65,[1]LEYP_Input!A$2:A$389,[1]LEYP_Input!$C$2:$C$389)</f>
        <v>2</v>
      </c>
      <c r="G65">
        <f>Louisa_wConduits_Input_CSV!AZ65</f>
        <v>1</v>
      </c>
    </row>
    <row r="66" spans="1:7" x14ac:dyDescent="0.2">
      <c r="A66" t="str">
        <f>Louisa_wConduits_Input_CSV!B66</f>
        <v>P915</v>
      </c>
      <c r="B66" t="str">
        <f>_xlfn.XLOOKUP(A66,[1]Conduits_Condition!$A$2:$A$389,[1]Conduits_Condition!$B$2:$B$389)</f>
        <v>DI</v>
      </c>
      <c r="C66">
        <f ca="1">YEAR(TODAY())-_xlfn.XLOOKUP(A66,InstallDate!$B$2:$B$389,InstallDate!$BD$2:$BD$389)</f>
        <v>46</v>
      </c>
      <c r="D66">
        <f>Louisa_wConduits_Input_CSV!R66</f>
        <v>61.888741029999998</v>
      </c>
      <c r="E66">
        <f>Louisa_wConduits_Input_CSV!S66</f>
        <v>6</v>
      </c>
      <c r="F66">
        <f ca="1">_xlfn.XLOOKUP(A66,[1]LEYP_Input!A$2:A$389,[1]LEYP_Input!$C$2:$C$389)</f>
        <v>1</v>
      </c>
      <c r="G66">
        <f>Louisa_wConduits_Input_CSV!AZ66</f>
        <v>1</v>
      </c>
    </row>
    <row r="67" spans="1:7" x14ac:dyDescent="0.2">
      <c r="A67" t="str">
        <f>Louisa_wConduits_Input_CSV!B67</f>
        <v>P917</v>
      </c>
      <c r="B67" t="str">
        <f>_xlfn.XLOOKUP(A67,[1]Conduits_Condition!$A$2:$A$389,[1]Conduits_Condition!$B$2:$B$389)</f>
        <v>DI</v>
      </c>
      <c r="C67">
        <f ca="1">YEAR(TODAY())-_xlfn.XLOOKUP(A67,InstallDate!$B$2:$B$389,InstallDate!$BD$2:$BD$389)</f>
        <v>26</v>
      </c>
      <c r="D67">
        <f>Louisa_wConduits_Input_CSV!R67</f>
        <v>67.535537930000004</v>
      </c>
      <c r="E67">
        <f>Louisa_wConduits_Input_CSV!S67</f>
        <v>6</v>
      </c>
      <c r="F67">
        <f ca="1">_xlfn.XLOOKUP(A67,[1]LEYP_Input!A$2:A$389,[1]LEYP_Input!$C$2:$C$389)</f>
        <v>2</v>
      </c>
      <c r="G67">
        <f>Louisa_wConduits_Input_CSV!AZ67</f>
        <v>1</v>
      </c>
    </row>
    <row r="68" spans="1:7" x14ac:dyDescent="0.2">
      <c r="A68" t="str">
        <f>Louisa_wConduits_Input_CSV!B68</f>
        <v>P919</v>
      </c>
      <c r="B68" t="str">
        <f>_xlfn.XLOOKUP(A68,[1]Conduits_Condition!$A$2:$A$389,[1]Conduits_Condition!$B$2:$B$389)</f>
        <v>DI</v>
      </c>
      <c r="C68">
        <f ca="1">YEAR(TODAY())-_xlfn.XLOOKUP(A68,InstallDate!$B$2:$B$389,InstallDate!$BD$2:$BD$389)</f>
        <v>26</v>
      </c>
      <c r="D68">
        <f>Louisa_wConduits_Input_CSV!R68</f>
        <v>13.11924061</v>
      </c>
      <c r="E68">
        <f>Louisa_wConduits_Input_CSV!S68</f>
        <v>6</v>
      </c>
      <c r="F68">
        <f ca="1">_xlfn.XLOOKUP(A68,[1]LEYP_Input!A$2:A$389,[1]LEYP_Input!$C$2:$C$389)</f>
        <v>2</v>
      </c>
      <c r="G68">
        <f>Louisa_wConduits_Input_CSV!AZ68</f>
        <v>1</v>
      </c>
    </row>
    <row r="69" spans="1:7" x14ac:dyDescent="0.2">
      <c r="A69" t="str">
        <f>Louisa_wConduits_Input_CSV!B69</f>
        <v>P921</v>
      </c>
      <c r="B69" t="str">
        <f>_xlfn.XLOOKUP(A69,[1]Conduits_Condition!$A$2:$A$389,[1]Conduits_Condition!$B$2:$B$389)</f>
        <v>DI</v>
      </c>
      <c r="C69">
        <f ca="1">YEAR(TODAY())-_xlfn.XLOOKUP(A69,InstallDate!$B$2:$B$389,InstallDate!$BD$2:$BD$389)</f>
        <v>26</v>
      </c>
      <c r="D69">
        <f>Louisa_wConduits_Input_CSV!R69</f>
        <v>37.71846498</v>
      </c>
      <c r="E69">
        <f>Louisa_wConduits_Input_CSV!S69</f>
        <v>6</v>
      </c>
      <c r="F69">
        <f ca="1">_xlfn.XLOOKUP(A69,[1]LEYP_Input!A$2:A$389,[1]LEYP_Input!$C$2:$C$389)</f>
        <v>2</v>
      </c>
      <c r="G69">
        <f>Louisa_wConduits_Input_CSV!AZ69</f>
        <v>1</v>
      </c>
    </row>
    <row r="70" spans="1:7" x14ac:dyDescent="0.2">
      <c r="A70" t="str">
        <f>Louisa_wConduits_Input_CSV!B70</f>
        <v>P923</v>
      </c>
      <c r="B70" t="str">
        <f>_xlfn.XLOOKUP(A70,[1]Conduits_Condition!$A$2:$A$389,[1]Conduits_Condition!$B$2:$B$389)</f>
        <v>DI</v>
      </c>
      <c r="C70">
        <f ca="1">YEAR(TODAY())-_xlfn.XLOOKUP(A70,InstallDate!$B$2:$B$389,InstallDate!$BD$2:$BD$389)</f>
        <v>26</v>
      </c>
      <c r="D70">
        <f>Louisa_wConduits_Input_CSV!R70</f>
        <v>34.8410321</v>
      </c>
      <c r="E70">
        <f>Louisa_wConduits_Input_CSV!S70</f>
        <v>6</v>
      </c>
      <c r="F70">
        <f ca="1">_xlfn.XLOOKUP(A70,[1]LEYP_Input!A$2:A$389,[1]LEYP_Input!$C$2:$C$389)</f>
        <v>2</v>
      </c>
      <c r="G70">
        <f>Louisa_wConduits_Input_CSV!AZ70</f>
        <v>1</v>
      </c>
    </row>
    <row r="71" spans="1:7" x14ac:dyDescent="0.2">
      <c r="A71" t="str">
        <f>Louisa_wConduits_Input_CSV!B71</f>
        <v>P925</v>
      </c>
      <c r="B71" t="str">
        <f>_xlfn.XLOOKUP(A71,[1]Conduits_Condition!$A$2:$A$389,[1]Conduits_Condition!$B$2:$B$389)</f>
        <v>DI</v>
      </c>
      <c r="C71">
        <f ca="1">YEAR(TODAY())-_xlfn.XLOOKUP(A71,InstallDate!$B$2:$B$389,InstallDate!$BD$2:$BD$389)</f>
        <v>26</v>
      </c>
      <c r="D71">
        <f>Louisa_wConduits_Input_CSV!R71</f>
        <v>10.8555458</v>
      </c>
      <c r="E71">
        <f>Louisa_wConduits_Input_CSV!S71</f>
        <v>6</v>
      </c>
      <c r="F71">
        <f ca="1">_xlfn.XLOOKUP(A71,[1]LEYP_Input!A$2:A$389,[1]LEYP_Input!$C$2:$C$389)</f>
        <v>2</v>
      </c>
      <c r="G71">
        <f>Louisa_wConduits_Input_CSV!AZ71</f>
        <v>1</v>
      </c>
    </row>
    <row r="72" spans="1:7" x14ac:dyDescent="0.2">
      <c r="A72" t="str">
        <f>Louisa_wConduits_Input_CSV!B72</f>
        <v>P927</v>
      </c>
      <c r="B72" t="str">
        <f>_xlfn.XLOOKUP(A72,[1]Conduits_Condition!$A$2:$A$389,[1]Conduits_Condition!$B$2:$B$389)</f>
        <v>DI</v>
      </c>
      <c r="C72">
        <f ca="1">YEAR(TODAY())-_xlfn.XLOOKUP(A72,InstallDate!$B$2:$B$389,InstallDate!$BD$2:$BD$389)</f>
        <v>26</v>
      </c>
      <c r="D72">
        <f>Louisa_wConduits_Input_CSV!R72</f>
        <v>27.54976855</v>
      </c>
      <c r="E72">
        <f>Louisa_wConduits_Input_CSV!S72</f>
        <v>6</v>
      </c>
      <c r="F72">
        <f ca="1">_xlfn.XLOOKUP(A72,[1]LEYP_Input!A$2:A$389,[1]LEYP_Input!$C$2:$C$389)</f>
        <v>2</v>
      </c>
      <c r="G72">
        <f>Louisa_wConduits_Input_CSV!AZ72</f>
        <v>1</v>
      </c>
    </row>
    <row r="73" spans="1:7" x14ac:dyDescent="0.2">
      <c r="A73" t="str">
        <f>Louisa_wConduits_Input_CSV!B73</f>
        <v>P929</v>
      </c>
      <c r="B73" t="str">
        <f>_xlfn.XLOOKUP(A73,[1]Conduits_Condition!$A$2:$A$389,[1]Conduits_Condition!$B$2:$B$389)</f>
        <v>DI</v>
      </c>
      <c r="C73">
        <f ca="1">YEAR(TODAY())-_xlfn.XLOOKUP(A73,InstallDate!$B$2:$B$389,InstallDate!$BD$2:$BD$389)</f>
        <v>76</v>
      </c>
      <c r="D73">
        <f>Louisa_wConduits_Input_CSV!R73</f>
        <v>21.275438900000001</v>
      </c>
      <c r="E73">
        <f>Louisa_wConduits_Input_CSV!S73</f>
        <v>6</v>
      </c>
      <c r="F73">
        <f ca="1">_xlfn.XLOOKUP(A73,[1]LEYP_Input!A$2:A$389,[1]LEYP_Input!$C$2:$C$389)</f>
        <v>1</v>
      </c>
      <c r="G73">
        <f>Louisa_wConduits_Input_CSV!AZ73</f>
        <v>1</v>
      </c>
    </row>
    <row r="74" spans="1:7" x14ac:dyDescent="0.2">
      <c r="A74" t="str">
        <f>Louisa_wConduits_Input_CSV!B74</f>
        <v>P931</v>
      </c>
      <c r="B74" t="str">
        <f>_xlfn.XLOOKUP(A74,[1]Conduits_Condition!$A$2:$A$389,[1]Conduits_Condition!$B$2:$B$389)</f>
        <v>DI</v>
      </c>
      <c r="C74">
        <f ca="1">YEAR(TODAY())-_xlfn.XLOOKUP(A74,InstallDate!$B$2:$B$389,InstallDate!$BD$2:$BD$389)</f>
        <v>76</v>
      </c>
      <c r="D74">
        <f>Louisa_wConduits_Input_CSV!R74</f>
        <v>13.35876466</v>
      </c>
      <c r="E74">
        <f>Louisa_wConduits_Input_CSV!S74</f>
        <v>6</v>
      </c>
      <c r="F74">
        <f ca="1">_xlfn.XLOOKUP(A74,[1]LEYP_Input!A$2:A$389,[1]LEYP_Input!$C$2:$C$389)</f>
        <v>1</v>
      </c>
      <c r="G74">
        <f>Louisa_wConduits_Input_CSV!AZ74</f>
        <v>1</v>
      </c>
    </row>
    <row r="75" spans="1:7" x14ac:dyDescent="0.2">
      <c r="A75" t="str">
        <f>Louisa_wConduits_Input_CSV!B75</f>
        <v>P933</v>
      </c>
      <c r="B75" t="str">
        <f>_xlfn.XLOOKUP(A75,[1]Conduits_Condition!$A$2:$A$389,[1]Conduits_Condition!$B$2:$B$389)</f>
        <v>DI</v>
      </c>
      <c r="C75">
        <f ca="1">YEAR(TODAY())-_xlfn.XLOOKUP(A75,InstallDate!$B$2:$B$389,InstallDate!$BD$2:$BD$389)</f>
        <v>76</v>
      </c>
      <c r="D75">
        <f>Louisa_wConduits_Input_CSV!R75</f>
        <v>52.618579320000002</v>
      </c>
      <c r="E75">
        <f>Louisa_wConduits_Input_CSV!S75</f>
        <v>6</v>
      </c>
      <c r="F75">
        <f ca="1">_xlfn.XLOOKUP(A75,[1]LEYP_Input!A$2:A$389,[1]LEYP_Input!$C$2:$C$389)</f>
        <v>1</v>
      </c>
      <c r="G75">
        <f>Louisa_wConduits_Input_CSV!AZ75</f>
        <v>1</v>
      </c>
    </row>
    <row r="76" spans="1:7" x14ac:dyDescent="0.2">
      <c r="A76" t="str">
        <f>Louisa_wConduits_Input_CSV!B76</f>
        <v>P935</v>
      </c>
      <c r="B76" t="str">
        <f>_xlfn.XLOOKUP(A76,[1]Conduits_Condition!$A$2:$A$389,[1]Conduits_Condition!$B$2:$B$389)</f>
        <v>DI</v>
      </c>
      <c r="C76">
        <f ca="1">YEAR(TODAY())-_xlfn.XLOOKUP(A76,InstallDate!$B$2:$B$389,InstallDate!$BD$2:$BD$389)</f>
        <v>76</v>
      </c>
      <c r="D76">
        <f>Louisa_wConduits_Input_CSV!R76</f>
        <v>337.67271469999997</v>
      </c>
      <c r="E76">
        <f>Louisa_wConduits_Input_CSV!S76</f>
        <v>6</v>
      </c>
      <c r="F76">
        <f ca="1">_xlfn.XLOOKUP(A76,[1]LEYP_Input!A$2:A$389,[1]LEYP_Input!$C$2:$C$389)</f>
        <v>1</v>
      </c>
      <c r="G76">
        <f>Louisa_wConduits_Input_CSV!AZ76</f>
        <v>1</v>
      </c>
    </row>
    <row r="77" spans="1:7" x14ac:dyDescent="0.2">
      <c r="A77" t="str">
        <f>Louisa_wConduits_Input_CSV!B77</f>
        <v>P937</v>
      </c>
      <c r="B77" t="str">
        <f>_xlfn.XLOOKUP(A77,[1]Conduits_Condition!$A$2:$A$389,[1]Conduits_Condition!$B$2:$B$389)</f>
        <v>DI</v>
      </c>
      <c r="C77">
        <f ca="1">YEAR(TODAY())-_xlfn.XLOOKUP(A77,InstallDate!$B$2:$B$389,InstallDate!$BD$2:$BD$389)</f>
        <v>26</v>
      </c>
      <c r="D77">
        <f>Louisa_wConduits_Input_CSV!R77</f>
        <v>98.555518969999994</v>
      </c>
      <c r="E77">
        <f>Louisa_wConduits_Input_CSV!S77</f>
        <v>6</v>
      </c>
      <c r="F77">
        <f ca="1">_xlfn.XLOOKUP(A77,[1]LEYP_Input!A$2:A$389,[1]LEYP_Input!$C$2:$C$389)</f>
        <v>2</v>
      </c>
      <c r="G77">
        <f>Louisa_wConduits_Input_CSV!AZ77</f>
        <v>2</v>
      </c>
    </row>
    <row r="78" spans="1:7" x14ac:dyDescent="0.2">
      <c r="A78" t="str">
        <f>Louisa_wConduits_Input_CSV!B78</f>
        <v>P939</v>
      </c>
      <c r="B78" t="str">
        <f>_xlfn.XLOOKUP(A78,[1]Conduits_Condition!$A$2:$A$389,[1]Conduits_Condition!$B$2:$B$389)</f>
        <v>DI</v>
      </c>
      <c r="C78">
        <f ca="1">YEAR(TODAY())-_xlfn.XLOOKUP(A78,InstallDate!$B$2:$B$389,InstallDate!$BD$2:$BD$389)</f>
        <v>26</v>
      </c>
      <c r="D78">
        <f>Louisa_wConduits_Input_CSV!R78</f>
        <v>78.316999850000002</v>
      </c>
      <c r="E78">
        <f>Louisa_wConduits_Input_CSV!S78</f>
        <v>6</v>
      </c>
      <c r="F78">
        <f ca="1">_xlfn.XLOOKUP(A78,[1]LEYP_Input!A$2:A$389,[1]LEYP_Input!$C$2:$C$389)</f>
        <v>2</v>
      </c>
      <c r="G78">
        <f>Louisa_wConduits_Input_CSV!AZ78</f>
        <v>2</v>
      </c>
    </row>
    <row r="79" spans="1:7" x14ac:dyDescent="0.2">
      <c r="A79" t="str">
        <f>Louisa_wConduits_Input_CSV!B79</f>
        <v>P941</v>
      </c>
      <c r="B79" t="str">
        <f>_xlfn.XLOOKUP(A79,[1]Conduits_Condition!$A$2:$A$389,[1]Conduits_Condition!$B$2:$B$389)</f>
        <v>DI</v>
      </c>
      <c r="C79">
        <f ca="1">YEAR(TODAY())-_xlfn.XLOOKUP(A79,InstallDate!$B$2:$B$389,InstallDate!$BD$2:$BD$389)</f>
        <v>76</v>
      </c>
      <c r="D79">
        <f>Louisa_wConduits_Input_CSV!R79</f>
        <v>45.139138580000001</v>
      </c>
      <c r="E79">
        <f>Louisa_wConduits_Input_CSV!S79</f>
        <v>6</v>
      </c>
      <c r="F79">
        <f ca="1">_xlfn.XLOOKUP(A79,[1]LEYP_Input!A$2:A$389,[1]LEYP_Input!$C$2:$C$389)</f>
        <v>1</v>
      </c>
      <c r="G79">
        <f>Louisa_wConduits_Input_CSV!AZ79</f>
        <v>2</v>
      </c>
    </row>
    <row r="80" spans="1:7" x14ac:dyDescent="0.2">
      <c r="A80" t="str">
        <f>Louisa_wConduits_Input_CSV!B80</f>
        <v>P943</v>
      </c>
      <c r="B80" t="str">
        <f>_xlfn.XLOOKUP(A80,[1]Conduits_Condition!$A$2:$A$389,[1]Conduits_Condition!$B$2:$B$389)</f>
        <v>DI</v>
      </c>
      <c r="C80">
        <f ca="1">YEAR(TODAY())-_xlfn.XLOOKUP(A80,InstallDate!$B$2:$B$389,InstallDate!$BD$2:$BD$389)</f>
        <v>76</v>
      </c>
      <c r="D80">
        <f>Louisa_wConduits_Input_CSV!R80</f>
        <v>45.021944939999997</v>
      </c>
      <c r="E80">
        <f>Louisa_wConduits_Input_CSV!S80</f>
        <v>6</v>
      </c>
      <c r="F80">
        <f ca="1">_xlfn.XLOOKUP(A80,[1]LEYP_Input!A$2:A$389,[1]LEYP_Input!$C$2:$C$389)</f>
        <v>1</v>
      </c>
      <c r="G80">
        <f>Louisa_wConduits_Input_CSV!AZ80</f>
        <v>2</v>
      </c>
    </row>
    <row r="81" spans="1:7" x14ac:dyDescent="0.2">
      <c r="A81" t="str">
        <f>Louisa_wConduits_Input_CSV!B81</f>
        <v>P945</v>
      </c>
      <c r="B81" t="str">
        <f>_xlfn.XLOOKUP(A81,[1]Conduits_Condition!$A$2:$A$389,[1]Conduits_Condition!$B$2:$B$389)</f>
        <v>DI</v>
      </c>
      <c r="C81">
        <f ca="1">YEAR(TODAY())-_xlfn.XLOOKUP(A81,InstallDate!$B$2:$B$389,InstallDate!$BD$2:$BD$389)</f>
        <v>76</v>
      </c>
      <c r="D81">
        <f>Louisa_wConduits_Input_CSV!R81</f>
        <v>4.5464342059999998</v>
      </c>
      <c r="E81">
        <f>Louisa_wConduits_Input_CSV!S81</f>
        <v>6</v>
      </c>
      <c r="F81">
        <f ca="1">_xlfn.XLOOKUP(A81,[1]LEYP_Input!A$2:A$389,[1]LEYP_Input!$C$2:$C$389)</f>
        <v>1</v>
      </c>
      <c r="G81">
        <f>Louisa_wConduits_Input_CSV!AZ81</f>
        <v>2</v>
      </c>
    </row>
    <row r="82" spans="1:7" x14ac:dyDescent="0.2">
      <c r="A82" t="str">
        <f>Louisa_wConduits_Input_CSV!B82</f>
        <v>P947</v>
      </c>
      <c r="B82" t="str">
        <f>_xlfn.XLOOKUP(A82,[1]Conduits_Condition!$A$2:$A$389,[1]Conduits_Condition!$B$2:$B$389)</f>
        <v>DI</v>
      </c>
      <c r="C82">
        <f ca="1">YEAR(TODAY())-_xlfn.XLOOKUP(A82,InstallDate!$B$2:$B$389,InstallDate!$BD$2:$BD$389)</f>
        <v>76</v>
      </c>
      <c r="D82">
        <f>Louisa_wConduits_Input_CSV!R82</f>
        <v>50.729892810000003</v>
      </c>
      <c r="E82">
        <f>Louisa_wConduits_Input_CSV!S82</f>
        <v>6</v>
      </c>
      <c r="F82">
        <f ca="1">_xlfn.XLOOKUP(A82,[1]LEYP_Input!A$2:A$389,[1]LEYP_Input!$C$2:$C$389)</f>
        <v>1</v>
      </c>
      <c r="G82">
        <f>Louisa_wConduits_Input_CSV!AZ82</f>
        <v>1</v>
      </c>
    </row>
    <row r="83" spans="1:7" x14ac:dyDescent="0.2">
      <c r="A83" t="str">
        <f>Louisa_wConduits_Input_CSV!B83</f>
        <v>P949</v>
      </c>
      <c r="B83" t="str">
        <f>_xlfn.XLOOKUP(A83,[1]Conduits_Condition!$A$2:$A$389,[1]Conduits_Condition!$B$2:$B$389)</f>
        <v>DI</v>
      </c>
      <c r="C83">
        <f ca="1">YEAR(TODAY())-_xlfn.XLOOKUP(A83,InstallDate!$B$2:$B$389,InstallDate!$BD$2:$BD$389)</f>
        <v>76</v>
      </c>
      <c r="D83">
        <f>Louisa_wConduits_Input_CSV!R83</f>
        <v>66.043334689999995</v>
      </c>
      <c r="E83">
        <f>Louisa_wConduits_Input_CSV!S83</f>
        <v>6</v>
      </c>
      <c r="F83">
        <f ca="1">_xlfn.XLOOKUP(A83,[1]LEYP_Input!A$2:A$389,[1]LEYP_Input!$C$2:$C$389)</f>
        <v>1</v>
      </c>
      <c r="G83">
        <f>Louisa_wConduits_Input_CSV!AZ83</f>
        <v>2</v>
      </c>
    </row>
    <row r="84" spans="1:7" x14ac:dyDescent="0.2">
      <c r="A84" t="str">
        <f>Louisa_wConduits_Input_CSV!B84</f>
        <v>P951</v>
      </c>
      <c r="B84" t="str">
        <f>_xlfn.XLOOKUP(A84,[1]Conduits_Condition!$A$2:$A$389,[1]Conduits_Condition!$B$2:$B$389)</f>
        <v>DI</v>
      </c>
      <c r="C84">
        <f ca="1">YEAR(TODAY())-_xlfn.XLOOKUP(A84,InstallDate!$B$2:$B$389,InstallDate!$BD$2:$BD$389)</f>
        <v>76</v>
      </c>
      <c r="D84">
        <f>Louisa_wConduits_Input_CSV!R84</f>
        <v>325.09902069999998</v>
      </c>
      <c r="E84">
        <f>Louisa_wConduits_Input_CSV!S84</f>
        <v>6</v>
      </c>
      <c r="F84">
        <f ca="1">_xlfn.XLOOKUP(A84,[1]LEYP_Input!A$2:A$389,[1]LEYP_Input!$C$2:$C$389)</f>
        <v>1</v>
      </c>
      <c r="G84">
        <f>Louisa_wConduits_Input_CSV!AZ84</f>
        <v>2</v>
      </c>
    </row>
    <row r="85" spans="1:7" x14ac:dyDescent="0.2">
      <c r="A85" t="str">
        <f>Louisa_wConduits_Input_CSV!B85</f>
        <v>P953</v>
      </c>
      <c r="B85" t="str">
        <f>_xlfn.XLOOKUP(A85,[1]Conduits_Condition!$A$2:$A$389,[1]Conduits_Condition!$B$2:$B$389)</f>
        <v>DI</v>
      </c>
      <c r="C85">
        <f ca="1">YEAR(TODAY())-_xlfn.XLOOKUP(A85,InstallDate!$B$2:$B$389,InstallDate!$BD$2:$BD$389)</f>
        <v>46</v>
      </c>
      <c r="D85">
        <f>Louisa_wConduits_Input_CSV!R85</f>
        <v>473.27614069999998</v>
      </c>
      <c r="E85">
        <f>Louisa_wConduits_Input_CSV!S85</f>
        <v>6</v>
      </c>
      <c r="F85">
        <f ca="1">_xlfn.XLOOKUP(A85,[1]LEYP_Input!A$2:A$389,[1]LEYP_Input!$C$2:$C$389)</f>
        <v>1</v>
      </c>
      <c r="G85">
        <f>Louisa_wConduits_Input_CSV!AZ85</f>
        <v>1</v>
      </c>
    </row>
    <row r="86" spans="1:7" x14ac:dyDescent="0.2">
      <c r="A86" t="str">
        <f>Louisa_wConduits_Input_CSV!B86</f>
        <v>P955</v>
      </c>
      <c r="B86" t="str">
        <f>_xlfn.XLOOKUP(A86,[1]Conduits_Condition!$A$2:$A$389,[1]Conduits_Condition!$B$2:$B$389)</f>
        <v>DI</v>
      </c>
      <c r="C86">
        <f ca="1">YEAR(TODAY())-_xlfn.XLOOKUP(A86,InstallDate!$B$2:$B$389,InstallDate!$BD$2:$BD$389)</f>
        <v>46</v>
      </c>
      <c r="D86">
        <f>Louisa_wConduits_Input_CSV!R86</f>
        <v>34.702424139999998</v>
      </c>
      <c r="E86">
        <f>Louisa_wConduits_Input_CSV!S86</f>
        <v>6</v>
      </c>
      <c r="F86">
        <f ca="1">_xlfn.XLOOKUP(A86,[1]LEYP_Input!A$2:A$389,[1]LEYP_Input!$C$2:$C$389)</f>
        <v>1</v>
      </c>
      <c r="G86">
        <f>Louisa_wConduits_Input_CSV!AZ86</f>
        <v>2</v>
      </c>
    </row>
    <row r="87" spans="1:7" x14ac:dyDescent="0.2">
      <c r="A87" t="str">
        <f>Louisa_wConduits_Input_CSV!B87</f>
        <v>P957</v>
      </c>
      <c r="B87" t="str">
        <f>_xlfn.XLOOKUP(A87,[1]Conduits_Condition!$A$2:$A$389,[1]Conduits_Condition!$B$2:$B$389)</f>
        <v>DI</v>
      </c>
      <c r="C87">
        <f ca="1">YEAR(TODAY())-_xlfn.XLOOKUP(A87,InstallDate!$B$2:$B$389,InstallDate!$BD$2:$BD$389)</f>
        <v>46</v>
      </c>
      <c r="D87">
        <f>Louisa_wConduits_Input_CSV!R87</f>
        <v>43.35433828</v>
      </c>
      <c r="E87">
        <f>Louisa_wConduits_Input_CSV!S87</f>
        <v>6</v>
      </c>
      <c r="F87">
        <f ca="1">_xlfn.XLOOKUP(A87,[1]LEYP_Input!A$2:A$389,[1]LEYP_Input!$C$2:$C$389)</f>
        <v>1</v>
      </c>
      <c r="G87">
        <f>Louisa_wConduits_Input_CSV!AZ87</f>
        <v>1</v>
      </c>
    </row>
    <row r="88" spans="1:7" x14ac:dyDescent="0.2">
      <c r="A88" t="str">
        <f>Louisa_wConduits_Input_CSV!B88</f>
        <v>P959</v>
      </c>
      <c r="B88" t="str">
        <f>_xlfn.XLOOKUP(A88,[1]Conduits_Condition!$A$2:$A$389,[1]Conduits_Condition!$B$2:$B$389)</f>
        <v>DI</v>
      </c>
      <c r="C88">
        <f ca="1">YEAR(TODAY())-_xlfn.XLOOKUP(A88,InstallDate!$B$2:$B$389,InstallDate!$BD$2:$BD$389)</f>
        <v>46</v>
      </c>
      <c r="D88">
        <f>Louisa_wConduits_Input_CSV!R88</f>
        <v>27.104554490000002</v>
      </c>
      <c r="E88">
        <f>Louisa_wConduits_Input_CSV!S88</f>
        <v>6</v>
      </c>
      <c r="F88">
        <f ca="1">_xlfn.XLOOKUP(A88,[1]LEYP_Input!A$2:A$389,[1]LEYP_Input!$C$2:$C$389)</f>
        <v>1</v>
      </c>
      <c r="G88">
        <f>Louisa_wConduits_Input_CSV!AZ88</f>
        <v>1</v>
      </c>
    </row>
    <row r="89" spans="1:7" x14ac:dyDescent="0.2">
      <c r="A89" t="str">
        <f>Louisa_wConduits_Input_CSV!B89</f>
        <v>P961</v>
      </c>
      <c r="B89" t="str">
        <f>_xlfn.XLOOKUP(A89,[1]Conduits_Condition!$A$2:$A$389,[1]Conduits_Condition!$B$2:$B$389)</f>
        <v>DI</v>
      </c>
      <c r="C89">
        <f ca="1">YEAR(TODAY())-_xlfn.XLOOKUP(A89,InstallDate!$B$2:$B$389,InstallDate!$BD$2:$BD$389)</f>
        <v>46</v>
      </c>
      <c r="D89">
        <f>Louisa_wConduits_Input_CSV!R89</f>
        <v>35.897948990000003</v>
      </c>
      <c r="E89">
        <f>Louisa_wConduits_Input_CSV!S89</f>
        <v>6</v>
      </c>
      <c r="F89">
        <f ca="1">_xlfn.XLOOKUP(A89,[1]LEYP_Input!A$2:A$389,[1]LEYP_Input!$C$2:$C$389)</f>
        <v>1</v>
      </c>
      <c r="G89">
        <f>Louisa_wConduits_Input_CSV!AZ89</f>
        <v>1</v>
      </c>
    </row>
    <row r="90" spans="1:7" x14ac:dyDescent="0.2">
      <c r="A90" t="str">
        <f>Louisa_wConduits_Input_CSV!B90</f>
        <v>P963</v>
      </c>
      <c r="B90" t="str">
        <f>_xlfn.XLOOKUP(A90,[1]Conduits_Condition!$A$2:$A$389,[1]Conduits_Condition!$B$2:$B$389)</f>
        <v>DI</v>
      </c>
      <c r="C90">
        <f ca="1">YEAR(TODAY())-_xlfn.XLOOKUP(A90,InstallDate!$B$2:$B$389,InstallDate!$BD$2:$BD$389)</f>
        <v>46</v>
      </c>
      <c r="D90">
        <f>Louisa_wConduits_Input_CSV!R90</f>
        <v>325.8193617</v>
      </c>
      <c r="E90">
        <f>Louisa_wConduits_Input_CSV!S90</f>
        <v>6</v>
      </c>
      <c r="F90">
        <f ca="1">_xlfn.XLOOKUP(A90,[1]LEYP_Input!A$2:A$389,[1]LEYP_Input!$C$2:$C$389)</f>
        <v>1</v>
      </c>
      <c r="G90">
        <f>Louisa_wConduits_Input_CSV!AZ90</f>
        <v>1</v>
      </c>
    </row>
    <row r="91" spans="1:7" x14ac:dyDescent="0.2">
      <c r="A91" t="str">
        <f>Louisa_wConduits_Input_CSV!B91</f>
        <v>P965</v>
      </c>
      <c r="B91" t="str">
        <f>_xlfn.XLOOKUP(A91,[1]Conduits_Condition!$A$2:$A$389,[1]Conduits_Condition!$B$2:$B$389)</f>
        <v>DI</v>
      </c>
      <c r="C91">
        <f ca="1">YEAR(TODAY())-_xlfn.XLOOKUP(A91,InstallDate!$B$2:$B$389,InstallDate!$BD$2:$BD$389)</f>
        <v>46</v>
      </c>
      <c r="D91">
        <f>Louisa_wConduits_Input_CSV!R91</f>
        <v>41.488046539999999</v>
      </c>
      <c r="E91">
        <f>Louisa_wConduits_Input_CSV!S91</f>
        <v>6</v>
      </c>
      <c r="F91">
        <f ca="1">_xlfn.XLOOKUP(A91,[1]LEYP_Input!A$2:A$389,[1]LEYP_Input!$C$2:$C$389)</f>
        <v>1</v>
      </c>
      <c r="G91">
        <f>Louisa_wConduits_Input_CSV!AZ91</f>
        <v>2</v>
      </c>
    </row>
    <row r="92" spans="1:7" x14ac:dyDescent="0.2">
      <c r="A92" t="str">
        <f>Louisa_wConduits_Input_CSV!B92</f>
        <v>P967</v>
      </c>
      <c r="B92" t="str">
        <f>_xlfn.XLOOKUP(A92,[1]Conduits_Condition!$A$2:$A$389,[1]Conduits_Condition!$B$2:$B$389)</f>
        <v>DI</v>
      </c>
      <c r="C92">
        <f ca="1">YEAR(TODAY())-_xlfn.XLOOKUP(A92,InstallDate!$B$2:$B$389,InstallDate!$BD$2:$BD$389)</f>
        <v>46</v>
      </c>
      <c r="D92">
        <f>Louisa_wConduits_Input_CSV!R92</f>
        <v>40.524243179999999</v>
      </c>
      <c r="E92">
        <f>Louisa_wConduits_Input_CSV!S92</f>
        <v>6</v>
      </c>
      <c r="F92">
        <f ca="1">_xlfn.XLOOKUP(A92,[1]LEYP_Input!A$2:A$389,[1]LEYP_Input!$C$2:$C$389)</f>
        <v>1</v>
      </c>
      <c r="G92">
        <f>Louisa_wConduits_Input_CSV!AZ92</f>
        <v>2</v>
      </c>
    </row>
    <row r="93" spans="1:7" x14ac:dyDescent="0.2">
      <c r="A93" t="str">
        <f>Louisa_wConduits_Input_CSV!B93</f>
        <v>P969</v>
      </c>
      <c r="B93" t="str">
        <f>_xlfn.XLOOKUP(A93,[1]Conduits_Condition!$A$2:$A$389,[1]Conduits_Condition!$B$2:$B$389)</f>
        <v>DI</v>
      </c>
      <c r="C93">
        <f ca="1">YEAR(TODAY())-_xlfn.XLOOKUP(A93,InstallDate!$B$2:$B$389,InstallDate!$BD$2:$BD$389)</f>
        <v>46</v>
      </c>
      <c r="D93">
        <f>Louisa_wConduits_Input_CSV!R93</f>
        <v>25.763198110000001</v>
      </c>
      <c r="E93">
        <f>Louisa_wConduits_Input_CSV!S93</f>
        <v>6</v>
      </c>
      <c r="F93">
        <f ca="1">_xlfn.XLOOKUP(A93,[1]LEYP_Input!A$2:A$389,[1]LEYP_Input!$C$2:$C$389)</f>
        <v>1</v>
      </c>
      <c r="G93">
        <f>Louisa_wConduits_Input_CSV!AZ93</f>
        <v>1</v>
      </c>
    </row>
    <row r="94" spans="1:7" x14ac:dyDescent="0.2">
      <c r="A94" t="str">
        <f>Louisa_wConduits_Input_CSV!B94</f>
        <v>P971</v>
      </c>
      <c r="B94" t="str">
        <f>_xlfn.XLOOKUP(A94,[1]Conduits_Condition!$A$2:$A$389,[1]Conduits_Condition!$B$2:$B$389)</f>
        <v>DI</v>
      </c>
      <c r="C94">
        <f ca="1">YEAR(TODAY())-_xlfn.XLOOKUP(A94,InstallDate!$B$2:$B$389,InstallDate!$BD$2:$BD$389)</f>
        <v>46</v>
      </c>
      <c r="D94">
        <f>Louisa_wConduits_Input_CSV!R94</f>
        <v>22.387833350000001</v>
      </c>
      <c r="E94">
        <f>Louisa_wConduits_Input_CSV!S94</f>
        <v>6</v>
      </c>
      <c r="F94">
        <f ca="1">_xlfn.XLOOKUP(A94,[1]LEYP_Input!A$2:A$389,[1]LEYP_Input!$C$2:$C$389)</f>
        <v>1</v>
      </c>
      <c r="G94">
        <f>Louisa_wConduits_Input_CSV!AZ94</f>
        <v>2</v>
      </c>
    </row>
    <row r="95" spans="1:7" x14ac:dyDescent="0.2">
      <c r="A95" t="str">
        <f>Louisa_wConduits_Input_CSV!B95</f>
        <v>P973</v>
      </c>
      <c r="B95" t="str">
        <f>_xlfn.XLOOKUP(A95,[1]Conduits_Condition!$A$2:$A$389,[1]Conduits_Condition!$B$2:$B$389)</f>
        <v>DI</v>
      </c>
      <c r="C95">
        <f ca="1">YEAR(TODAY())-_xlfn.XLOOKUP(A95,InstallDate!$B$2:$B$389,InstallDate!$BD$2:$BD$389)</f>
        <v>46</v>
      </c>
      <c r="D95">
        <f>Louisa_wConduits_Input_CSV!R95</f>
        <v>81.201526569999999</v>
      </c>
      <c r="E95">
        <f>Louisa_wConduits_Input_CSV!S95</f>
        <v>6</v>
      </c>
      <c r="F95">
        <f ca="1">_xlfn.XLOOKUP(A95,[1]LEYP_Input!A$2:A$389,[1]LEYP_Input!$C$2:$C$389)</f>
        <v>1</v>
      </c>
      <c r="G95">
        <f>Louisa_wConduits_Input_CSV!AZ95</f>
        <v>2</v>
      </c>
    </row>
    <row r="96" spans="1:7" x14ac:dyDescent="0.2">
      <c r="A96" t="str">
        <f>Louisa_wConduits_Input_CSV!B96</f>
        <v>P975</v>
      </c>
      <c r="B96" t="str">
        <f>_xlfn.XLOOKUP(A96,[1]Conduits_Condition!$A$2:$A$389,[1]Conduits_Condition!$B$2:$B$389)</f>
        <v>DI</v>
      </c>
      <c r="C96">
        <f ca="1">YEAR(TODAY())-_xlfn.XLOOKUP(A96,InstallDate!$B$2:$B$389,InstallDate!$BD$2:$BD$389)</f>
        <v>46</v>
      </c>
      <c r="D96">
        <f>Louisa_wConduits_Input_CSV!R96</f>
        <v>90.288957490000001</v>
      </c>
      <c r="E96">
        <f>Louisa_wConduits_Input_CSV!S96</f>
        <v>6</v>
      </c>
      <c r="F96">
        <f ca="1">_xlfn.XLOOKUP(A96,[1]LEYP_Input!A$2:A$389,[1]LEYP_Input!$C$2:$C$389)</f>
        <v>1</v>
      </c>
      <c r="G96">
        <f>Louisa_wConduits_Input_CSV!AZ96</f>
        <v>2</v>
      </c>
    </row>
    <row r="97" spans="1:7" x14ac:dyDescent="0.2">
      <c r="A97" t="str">
        <f>Louisa_wConduits_Input_CSV!B97</f>
        <v>P977</v>
      </c>
      <c r="B97" t="str">
        <f>_xlfn.XLOOKUP(A97,[1]Conduits_Condition!$A$2:$A$389,[1]Conduits_Condition!$B$2:$B$389)</f>
        <v>GI</v>
      </c>
      <c r="C97">
        <f ca="1">YEAR(TODAY())-_xlfn.XLOOKUP(A97,InstallDate!$B$2:$B$389,InstallDate!$BD$2:$BD$389)</f>
        <v>76</v>
      </c>
      <c r="D97">
        <f>Louisa_wConduits_Input_CSV!R97</f>
        <v>71.082154389999999</v>
      </c>
      <c r="E97">
        <f>Louisa_wConduits_Input_CSV!S97</f>
        <v>2</v>
      </c>
      <c r="F97">
        <f ca="1">_xlfn.XLOOKUP(A97,[1]LEYP_Input!A$2:A$389,[1]LEYP_Input!$C$2:$C$389)</f>
        <v>1</v>
      </c>
      <c r="G97">
        <f>Louisa_wConduits_Input_CSV!AZ97</f>
        <v>1</v>
      </c>
    </row>
    <row r="98" spans="1:7" x14ac:dyDescent="0.2">
      <c r="A98" t="str">
        <f>Louisa_wConduits_Input_CSV!B98</f>
        <v>P979</v>
      </c>
      <c r="B98" t="str">
        <f>_xlfn.XLOOKUP(A98,[1]Conduits_Condition!$A$2:$A$389,[1]Conduits_Condition!$B$2:$B$389)</f>
        <v>GI</v>
      </c>
      <c r="C98">
        <f ca="1">YEAR(TODAY())-_xlfn.XLOOKUP(A98,InstallDate!$B$2:$B$389,InstallDate!$BD$2:$BD$389)</f>
        <v>76</v>
      </c>
      <c r="D98">
        <f>Louisa_wConduits_Input_CSV!R98</f>
        <v>1160.569745</v>
      </c>
      <c r="E98">
        <f>Louisa_wConduits_Input_CSV!S98</f>
        <v>2</v>
      </c>
      <c r="F98">
        <f ca="1">_xlfn.XLOOKUP(A98,[1]LEYP_Input!A$2:A$389,[1]LEYP_Input!$C$2:$C$389)</f>
        <v>1</v>
      </c>
      <c r="G98">
        <f>Louisa_wConduits_Input_CSV!AZ98</f>
        <v>1</v>
      </c>
    </row>
    <row r="99" spans="1:7" x14ac:dyDescent="0.2">
      <c r="A99" t="str">
        <f>Louisa_wConduits_Input_CSV!B99</f>
        <v>P981</v>
      </c>
      <c r="B99" t="str">
        <f>_xlfn.XLOOKUP(A99,[1]Conduits_Condition!$A$2:$A$389,[1]Conduits_Condition!$B$2:$B$389)</f>
        <v>GI</v>
      </c>
      <c r="C99">
        <f ca="1">YEAR(TODAY())-_xlfn.XLOOKUP(A99,InstallDate!$B$2:$B$389,InstallDate!$BD$2:$BD$389)</f>
        <v>76</v>
      </c>
      <c r="D99">
        <f>Louisa_wConduits_Input_CSV!R99</f>
        <v>29.114712879999999</v>
      </c>
      <c r="E99">
        <f>Louisa_wConduits_Input_CSV!S99</f>
        <v>2</v>
      </c>
      <c r="F99">
        <f ca="1">_xlfn.XLOOKUP(A99,[1]LEYP_Input!A$2:A$389,[1]LEYP_Input!$C$2:$C$389)</f>
        <v>1</v>
      </c>
      <c r="G99">
        <f>Louisa_wConduits_Input_CSV!AZ99</f>
        <v>1</v>
      </c>
    </row>
    <row r="100" spans="1:7" x14ac:dyDescent="0.2">
      <c r="A100" t="str">
        <f>Louisa_wConduits_Input_CSV!B100</f>
        <v>P983</v>
      </c>
      <c r="B100" t="str">
        <f>_xlfn.XLOOKUP(A100,[1]Conduits_Condition!$A$2:$A$389,[1]Conduits_Condition!$B$2:$B$389)</f>
        <v>DI</v>
      </c>
      <c r="C100">
        <f ca="1">YEAR(TODAY())-_xlfn.XLOOKUP(A100,InstallDate!$B$2:$B$389,InstallDate!$BD$2:$BD$389)</f>
        <v>76</v>
      </c>
      <c r="D100">
        <f>Louisa_wConduits_Input_CSV!R100</f>
        <v>166.40582090000001</v>
      </c>
      <c r="E100">
        <f>Louisa_wConduits_Input_CSV!S100</f>
        <v>6</v>
      </c>
      <c r="F100">
        <f ca="1">_xlfn.XLOOKUP(A100,[1]LEYP_Input!A$2:A$389,[1]LEYP_Input!$C$2:$C$389)</f>
        <v>1</v>
      </c>
      <c r="G100">
        <f>Louisa_wConduits_Input_CSV!AZ100</f>
        <v>1</v>
      </c>
    </row>
    <row r="101" spans="1:7" x14ac:dyDescent="0.2">
      <c r="A101" t="str">
        <f>Louisa_wConduits_Input_CSV!B101</f>
        <v>P985</v>
      </c>
      <c r="B101" t="str">
        <f>_xlfn.XLOOKUP(A101,[1]Conduits_Condition!$A$2:$A$389,[1]Conduits_Condition!$B$2:$B$389)</f>
        <v>PVC</v>
      </c>
      <c r="C101">
        <f ca="1">YEAR(TODAY())-_xlfn.XLOOKUP(A101,InstallDate!$B$2:$B$389,InstallDate!$BD$2:$BD$389)</f>
        <v>46</v>
      </c>
      <c r="D101">
        <f>Louisa_wConduits_Input_CSV!R101</f>
        <v>1773.483782</v>
      </c>
      <c r="E101">
        <f>Louisa_wConduits_Input_CSV!S101</f>
        <v>12</v>
      </c>
      <c r="F101">
        <f ca="1">_xlfn.XLOOKUP(A101,[1]LEYP_Input!A$2:A$389,[1]LEYP_Input!$C$2:$C$389)</f>
        <v>1</v>
      </c>
      <c r="G101">
        <f>Louisa_wConduits_Input_CSV!AZ101</f>
        <v>2</v>
      </c>
    </row>
    <row r="102" spans="1:7" x14ac:dyDescent="0.2">
      <c r="A102" t="str">
        <f>Louisa_wConduits_Input_CSV!B102</f>
        <v>P987</v>
      </c>
      <c r="B102" t="str">
        <f>_xlfn.XLOOKUP(A102,[1]Conduits_Condition!$A$2:$A$389,[1]Conduits_Condition!$B$2:$B$389)</f>
        <v>CI</v>
      </c>
      <c r="C102">
        <f ca="1">YEAR(TODAY())-_xlfn.XLOOKUP(A102,InstallDate!$B$2:$B$389,InstallDate!$BD$2:$BD$389)</f>
        <v>96</v>
      </c>
      <c r="D102">
        <f>Louisa_wConduits_Input_CSV!R102</f>
        <v>15.90713349</v>
      </c>
      <c r="E102">
        <f>Louisa_wConduits_Input_CSV!S102</f>
        <v>6</v>
      </c>
      <c r="F102">
        <f ca="1">_xlfn.XLOOKUP(A102,[1]LEYP_Input!A$2:A$389,[1]LEYP_Input!$C$2:$C$389)</f>
        <v>1</v>
      </c>
      <c r="G102">
        <f>Louisa_wConduits_Input_CSV!AZ102</f>
        <v>1</v>
      </c>
    </row>
    <row r="103" spans="1:7" x14ac:dyDescent="0.2">
      <c r="A103" t="str">
        <f>Louisa_wConduits_Input_CSV!B103</f>
        <v>P989</v>
      </c>
      <c r="B103" t="str">
        <f>_xlfn.XLOOKUP(A103,[1]Conduits_Condition!$A$2:$A$389,[1]Conduits_Condition!$B$2:$B$389)</f>
        <v>CI</v>
      </c>
      <c r="C103">
        <f ca="1">YEAR(TODAY())-_xlfn.XLOOKUP(A103,InstallDate!$B$2:$B$389,InstallDate!$BD$2:$BD$389)</f>
        <v>96</v>
      </c>
      <c r="D103">
        <f>Louisa_wConduits_Input_CSV!R103</f>
        <v>219.2257774</v>
      </c>
      <c r="E103">
        <f>Louisa_wConduits_Input_CSV!S103</f>
        <v>6</v>
      </c>
      <c r="F103">
        <f ca="1">_xlfn.XLOOKUP(A103,[1]LEYP_Input!A$2:A$389,[1]LEYP_Input!$C$2:$C$389)</f>
        <v>1</v>
      </c>
      <c r="G103">
        <f>Louisa_wConduits_Input_CSV!AZ103</f>
        <v>1</v>
      </c>
    </row>
    <row r="104" spans="1:7" x14ac:dyDescent="0.2">
      <c r="A104" t="str">
        <f>Louisa_wConduits_Input_CSV!B104</f>
        <v>P991</v>
      </c>
      <c r="B104" t="str">
        <f>_xlfn.XLOOKUP(A104,[1]Conduits_Condition!$A$2:$A$389,[1]Conduits_Condition!$B$2:$B$389)</f>
        <v>PVC</v>
      </c>
      <c r="C104">
        <f ca="1">YEAR(TODAY())-_xlfn.XLOOKUP(A104,InstallDate!$B$2:$B$389,InstallDate!$BD$2:$BD$389)</f>
        <v>46</v>
      </c>
      <c r="D104">
        <f>Louisa_wConduits_Input_CSV!R104</f>
        <v>130.0246617</v>
      </c>
      <c r="E104">
        <f>Louisa_wConduits_Input_CSV!S104</f>
        <v>6</v>
      </c>
      <c r="F104">
        <f ca="1">_xlfn.XLOOKUP(A104,[1]LEYP_Input!A$2:A$389,[1]LEYP_Input!$C$2:$C$389)</f>
        <v>1</v>
      </c>
      <c r="G104">
        <f>Louisa_wConduits_Input_CSV!AZ104</f>
        <v>2</v>
      </c>
    </row>
    <row r="105" spans="1:7" x14ac:dyDescent="0.2">
      <c r="A105" t="str">
        <f>Louisa_wConduits_Input_CSV!B105</f>
        <v>P993</v>
      </c>
      <c r="B105" t="str">
        <f>_xlfn.XLOOKUP(A105,[1]Conduits_Condition!$A$2:$A$389,[1]Conduits_Condition!$B$2:$B$389)</f>
        <v>PVC</v>
      </c>
      <c r="C105">
        <f ca="1">YEAR(TODAY())-_xlfn.XLOOKUP(A105,InstallDate!$B$2:$B$389,InstallDate!$BD$2:$BD$389)</f>
        <v>76</v>
      </c>
      <c r="D105">
        <f>Louisa_wConduits_Input_CSV!R105</f>
        <v>47.06334854</v>
      </c>
      <c r="E105">
        <f>Louisa_wConduits_Input_CSV!S105</f>
        <v>6</v>
      </c>
      <c r="F105">
        <f ca="1">_xlfn.XLOOKUP(A105,[1]LEYP_Input!A$2:A$389,[1]LEYP_Input!$C$2:$C$389)</f>
        <v>1</v>
      </c>
      <c r="G105">
        <f>Louisa_wConduits_Input_CSV!AZ105</f>
        <v>2</v>
      </c>
    </row>
    <row r="106" spans="1:7" x14ac:dyDescent="0.2">
      <c r="A106" t="str">
        <f>Louisa_wConduits_Input_CSV!B106</f>
        <v>P995</v>
      </c>
      <c r="B106" t="str">
        <f>_xlfn.XLOOKUP(A106,[1]Conduits_Condition!$A$2:$A$389,[1]Conduits_Condition!$B$2:$B$389)</f>
        <v>PVC</v>
      </c>
      <c r="C106">
        <f ca="1">YEAR(TODAY())-_xlfn.XLOOKUP(A106,InstallDate!$B$2:$B$389,InstallDate!$BD$2:$BD$389)</f>
        <v>76</v>
      </c>
      <c r="D106">
        <f>Louisa_wConduits_Input_CSV!R106</f>
        <v>38.265259919999998</v>
      </c>
      <c r="E106">
        <f>Louisa_wConduits_Input_CSV!S106</f>
        <v>6</v>
      </c>
      <c r="F106">
        <f ca="1">_xlfn.XLOOKUP(A106,[1]LEYP_Input!A$2:A$389,[1]LEYP_Input!$C$2:$C$389)</f>
        <v>1</v>
      </c>
      <c r="G106">
        <f>Louisa_wConduits_Input_CSV!AZ106</f>
        <v>2</v>
      </c>
    </row>
    <row r="107" spans="1:7" x14ac:dyDescent="0.2">
      <c r="A107" t="str">
        <f>Louisa_wConduits_Input_CSV!B107</f>
        <v>P997</v>
      </c>
      <c r="B107" t="str">
        <f>_xlfn.XLOOKUP(A107,[1]Conduits_Condition!$A$2:$A$389,[1]Conduits_Condition!$B$2:$B$389)</f>
        <v>PVC</v>
      </c>
      <c r="C107">
        <f ca="1">YEAR(TODAY())-_xlfn.XLOOKUP(A107,InstallDate!$B$2:$B$389,InstallDate!$BD$2:$BD$389)</f>
        <v>46</v>
      </c>
      <c r="D107">
        <f>Louisa_wConduits_Input_CSV!R107</f>
        <v>192.46866549999999</v>
      </c>
      <c r="E107">
        <f>Louisa_wConduits_Input_CSV!S107</f>
        <v>6</v>
      </c>
      <c r="F107">
        <f ca="1">_xlfn.XLOOKUP(A107,[1]LEYP_Input!A$2:A$389,[1]LEYP_Input!$C$2:$C$389)</f>
        <v>1</v>
      </c>
      <c r="G107">
        <f>Louisa_wConduits_Input_CSV!AZ107</f>
        <v>2</v>
      </c>
    </row>
    <row r="108" spans="1:7" x14ac:dyDescent="0.2">
      <c r="A108" t="str">
        <f>Louisa_wConduits_Input_CSV!B108</f>
        <v>P999</v>
      </c>
      <c r="B108" t="str">
        <f>_xlfn.XLOOKUP(A108,[1]Conduits_Condition!$A$2:$A$389,[1]Conduits_Condition!$B$2:$B$389)</f>
        <v>PVC</v>
      </c>
      <c r="C108">
        <f ca="1">YEAR(TODAY())-_xlfn.XLOOKUP(A108,InstallDate!$B$2:$B$389,InstallDate!$BD$2:$BD$389)</f>
        <v>96</v>
      </c>
      <c r="D108">
        <f>Louisa_wConduits_Input_CSV!R108</f>
        <v>746.63834559999998</v>
      </c>
      <c r="E108">
        <f>Louisa_wConduits_Input_CSV!S108</f>
        <v>6</v>
      </c>
      <c r="F108">
        <f ca="1">_xlfn.XLOOKUP(A108,[1]LEYP_Input!A$2:A$389,[1]LEYP_Input!$C$2:$C$389)</f>
        <v>1</v>
      </c>
      <c r="G108">
        <f>Louisa_wConduits_Input_CSV!AZ108</f>
        <v>2</v>
      </c>
    </row>
    <row r="109" spans="1:7" x14ac:dyDescent="0.2">
      <c r="A109" t="str">
        <f>Louisa_wConduits_Input_CSV!B109</f>
        <v>P1001</v>
      </c>
      <c r="B109" t="str">
        <f>_xlfn.XLOOKUP(A109,[1]Conduits_Condition!$A$2:$A$389,[1]Conduits_Condition!$B$2:$B$389)</f>
        <v>PVC</v>
      </c>
      <c r="C109">
        <f ca="1">YEAR(TODAY())-_xlfn.XLOOKUP(A109,InstallDate!$B$2:$B$389,InstallDate!$BD$2:$BD$389)</f>
        <v>46</v>
      </c>
      <c r="D109">
        <f>Louisa_wConduits_Input_CSV!R109</f>
        <v>27.18767545</v>
      </c>
      <c r="E109">
        <f>Louisa_wConduits_Input_CSV!S109</f>
        <v>6</v>
      </c>
      <c r="F109">
        <f ca="1">_xlfn.XLOOKUP(A109,[1]LEYP_Input!A$2:A$389,[1]LEYP_Input!$C$2:$C$389)</f>
        <v>1</v>
      </c>
      <c r="G109">
        <f>Louisa_wConduits_Input_CSV!AZ109</f>
        <v>2</v>
      </c>
    </row>
    <row r="110" spans="1:7" x14ac:dyDescent="0.2">
      <c r="A110" t="str">
        <f>Louisa_wConduits_Input_CSV!B110</f>
        <v>P1003</v>
      </c>
      <c r="B110" t="str">
        <f>_xlfn.XLOOKUP(A110,[1]Conduits_Condition!$A$2:$A$389,[1]Conduits_Condition!$B$2:$B$389)</f>
        <v>PVC</v>
      </c>
      <c r="C110">
        <f ca="1">YEAR(TODAY())-_xlfn.XLOOKUP(A110,InstallDate!$B$2:$B$389,InstallDate!$BD$2:$BD$389)</f>
        <v>96</v>
      </c>
      <c r="D110">
        <f>Louisa_wConduits_Input_CSV!R110</f>
        <v>373.28804439999999</v>
      </c>
      <c r="E110">
        <f>Louisa_wConduits_Input_CSV!S110</f>
        <v>6</v>
      </c>
      <c r="F110">
        <f ca="1">_xlfn.XLOOKUP(A110,[1]LEYP_Input!A$2:A$389,[1]LEYP_Input!$C$2:$C$389)</f>
        <v>1</v>
      </c>
      <c r="G110">
        <f>Louisa_wConduits_Input_CSV!AZ110</f>
        <v>2</v>
      </c>
    </row>
    <row r="111" spans="1:7" x14ac:dyDescent="0.2">
      <c r="A111" t="str">
        <f>Louisa_wConduits_Input_CSV!B111</f>
        <v>P1005</v>
      </c>
      <c r="B111" t="str">
        <f>_xlfn.XLOOKUP(A111,[1]Conduits_Condition!$A$2:$A$389,[1]Conduits_Condition!$B$2:$B$389)</f>
        <v>AC</v>
      </c>
      <c r="C111">
        <f ca="1">YEAR(TODAY())-_xlfn.XLOOKUP(A111,InstallDate!$B$2:$B$389,InstallDate!$BD$2:$BD$389)</f>
        <v>76</v>
      </c>
      <c r="D111">
        <f>Louisa_wConduits_Input_CSV!R111</f>
        <v>10.91095048</v>
      </c>
      <c r="E111">
        <f>Louisa_wConduits_Input_CSV!S111</f>
        <v>6</v>
      </c>
      <c r="F111">
        <f ca="1">_xlfn.XLOOKUP(A111,[1]LEYP_Input!A$2:A$389,[1]LEYP_Input!$C$2:$C$389)</f>
        <v>1</v>
      </c>
      <c r="G111">
        <f>Louisa_wConduits_Input_CSV!AZ111</f>
        <v>2</v>
      </c>
    </row>
    <row r="112" spans="1:7" x14ac:dyDescent="0.2">
      <c r="A112" t="str">
        <f>Louisa_wConduits_Input_CSV!B112</f>
        <v>P1007</v>
      </c>
      <c r="B112" t="str">
        <f>_xlfn.XLOOKUP(A112,[1]Conduits_Condition!$A$2:$A$389,[1]Conduits_Condition!$B$2:$B$389)</f>
        <v>DI</v>
      </c>
      <c r="C112">
        <f ca="1">YEAR(TODAY())-_xlfn.XLOOKUP(A112,InstallDate!$B$2:$B$389,InstallDate!$BD$2:$BD$389)</f>
        <v>96</v>
      </c>
      <c r="D112">
        <f>Louisa_wConduits_Input_CSV!R112</f>
        <v>84.748975340000001</v>
      </c>
      <c r="E112">
        <f>Louisa_wConduits_Input_CSV!S112</f>
        <v>6</v>
      </c>
      <c r="F112">
        <f ca="1">_xlfn.XLOOKUP(A112,[1]LEYP_Input!A$2:A$389,[1]LEYP_Input!$C$2:$C$389)</f>
        <v>1</v>
      </c>
      <c r="G112">
        <f>Louisa_wConduits_Input_CSV!AZ112</f>
        <v>1</v>
      </c>
    </row>
    <row r="113" spans="1:7" x14ac:dyDescent="0.2">
      <c r="A113" t="str">
        <f>Louisa_wConduits_Input_CSV!B113</f>
        <v>P1009</v>
      </c>
      <c r="B113" t="str">
        <f>_xlfn.XLOOKUP(A113,[1]Conduits_Condition!$A$2:$A$389,[1]Conduits_Condition!$B$2:$B$389)</f>
        <v>DI</v>
      </c>
      <c r="C113">
        <f ca="1">YEAR(TODAY())-_xlfn.XLOOKUP(A113,InstallDate!$B$2:$B$389,InstallDate!$BD$2:$BD$389)</f>
        <v>96</v>
      </c>
      <c r="D113">
        <f>Louisa_wConduits_Input_CSV!R113</f>
        <v>454.878782</v>
      </c>
      <c r="E113">
        <f>Louisa_wConduits_Input_CSV!S113</f>
        <v>6</v>
      </c>
      <c r="F113">
        <f ca="1">_xlfn.XLOOKUP(A113,[1]LEYP_Input!A$2:A$389,[1]LEYP_Input!$C$2:$C$389)</f>
        <v>1</v>
      </c>
      <c r="G113">
        <f>Louisa_wConduits_Input_CSV!AZ113</f>
        <v>1</v>
      </c>
    </row>
    <row r="114" spans="1:7" x14ac:dyDescent="0.2">
      <c r="A114" t="str">
        <f>Louisa_wConduits_Input_CSV!B114</f>
        <v>P1011</v>
      </c>
      <c r="B114" t="str">
        <f>_xlfn.XLOOKUP(A114,[1]Conduits_Condition!$A$2:$A$389,[1]Conduits_Condition!$B$2:$B$389)</f>
        <v>AC</v>
      </c>
      <c r="C114">
        <f ca="1">YEAR(TODAY())-_xlfn.XLOOKUP(A114,InstallDate!$B$2:$B$389,InstallDate!$BD$2:$BD$389)</f>
        <v>76</v>
      </c>
      <c r="D114">
        <f>Louisa_wConduits_Input_CSV!R114</f>
        <v>13.59322959</v>
      </c>
      <c r="E114">
        <f>Louisa_wConduits_Input_CSV!S114</f>
        <v>6</v>
      </c>
      <c r="F114">
        <f ca="1">_xlfn.XLOOKUP(A114,[1]LEYP_Input!A$2:A$389,[1]LEYP_Input!$C$2:$C$389)</f>
        <v>1</v>
      </c>
      <c r="G114">
        <f>Louisa_wConduits_Input_CSV!AZ114</f>
        <v>2</v>
      </c>
    </row>
    <row r="115" spans="1:7" x14ac:dyDescent="0.2">
      <c r="A115" t="str">
        <f>Louisa_wConduits_Input_CSV!B115</f>
        <v>P1013</v>
      </c>
      <c r="B115" t="str">
        <f>_xlfn.XLOOKUP(A115,[1]Conduits_Condition!$A$2:$A$389,[1]Conduits_Condition!$B$2:$B$389)</f>
        <v>AC</v>
      </c>
      <c r="C115">
        <f ca="1">YEAR(TODAY())-_xlfn.XLOOKUP(A115,InstallDate!$B$2:$B$389,InstallDate!$BD$2:$BD$389)</f>
        <v>96</v>
      </c>
      <c r="D115">
        <f>Louisa_wConduits_Input_CSV!R115</f>
        <v>502.71492619999998</v>
      </c>
      <c r="E115">
        <f>Louisa_wConduits_Input_CSV!S115</f>
        <v>6</v>
      </c>
      <c r="F115">
        <f ca="1">_xlfn.XLOOKUP(A115,[1]LEYP_Input!A$2:A$389,[1]LEYP_Input!$C$2:$C$389)</f>
        <v>1</v>
      </c>
      <c r="G115">
        <f>Louisa_wConduits_Input_CSV!AZ115</f>
        <v>2</v>
      </c>
    </row>
    <row r="116" spans="1:7" x14ac:dyDescent="0.2">
      <c r="A116" t="str">
        <f>Louisa_wConduits_Input_CSV!B116</f>
        <v>P1015</v>
      </c>
      <c r="B116" t="str">
        <f>_xlfn.XLOOKUP(A116,[1]Conduits_Condition!$A$2:$A$389,[1]Conduits_Condition!$B$2:$B$389)</f>
        <v>CI</v>
      </c>
      <c r="C116">
        <f ca="1">YEAR(TODAY())-_xlfn.XLOOKUP(A116,InstallDate!$B$2:$B$389,InstallDate!$BD$2:$BD$389)</f>
        <v>96</v>
      </c>
      <c r="D116">
        <f>Louisa_wConduits_Input_CSV!R116</f>
        <v>108.5799324</v>
      </c>
      <c r="E116">
        <f>Louisa_wConduits_Input_CSV!S116</f>
        <v>6</v>
      </c>
      <c r="F116">
        <f ca="1">_xlfn.XLOOKUP(A116,[1]LEYP_Input!A$2:A$389,[1]LEYP_Input!$C$2:$C$389)</f>
        <v>1</v>
      </c>
      <c r="G116">
        <f>Louisa_wConduits_Input_CSV!AZ116</f>
        <v>2</v>
      </c>
    </row>
    <row r="117" spans="1:7" x14ac:dyDescent="0.2">
      <c r="A117" t="str">
        <f>Louisa_wConduits_Input_CSV!B117</f>
        <v>P1017</v>
      </c>
      <c r="B117" t="str">
        <f>_xlfn.XLOOKUP(A117,[1]Conduits_Condition!$A$2:$A$389,[1]Conduits_Condition!$B$2:$B$389)</f>
        <v>CI</v>
      </c>
      <c r="C117">
        <f ca="1">YEAR(TODAY())-_xlfn.XLOOKUP(A117,InstallDate!$B$2:$B$389,InstallDate!$BD$2:$BD$389)</f>
        <v>96</v>
      </c>
      <c r="D117">
        <f>Louisa_wConduits_Input_CSV!R117</f>
        <v>287.1336652</v>
      </c>
      <c r="E117">
        <f>Louisa_wConduits_Input_CSV!S117</f>
        <v>6</v>
      </c>
      <c r="F117">
        <f ca="1">_xlfn.XLOOKUP(A117,[1]LEYP_Input!A$2:A$389,[1]LEYP_Input!$C$2:$C$389)</f>
        <v>1</v>
      </c>
      <c r="G117">
        <f>Louisa_wConduits_Input_CSV!AZ117</f>
        <v>2</v>
      </c>
    </row>
    <row r="118" spans="1:7" x14ac:dyDescent="0.2">
      <c r="A118" t="str">
        <f>Louisa_wConduits_Input_CSV!B118</f>
        <v>P1019</v>
      </c>
      <c r="B118" t="str">
        <f>_xlfn.XLOOKUP(A118,[1]Conduits_Condition!$A$2:$A$389,[1]Conduits_Condition!$B$2:$B$389)</f>
        <v>CI</v>
      </c>
      <c r="C118">
        <f ca="1">YEAR(TODAY())-_xlfn.XLOOKUP(A118,InstallDate!$B$2:$B$389,InstallDate!$BD$2:$BD$389)</f>
        <v>96</v>
      </c>
      <c r="D118">
        <f>Louisa_wConduits_Input_CSV!R118</f>
        <v>24.810494259999999</v>
      </c>
      <c r="E118">
        <f>Louisa_wConduits_Input_CSV!S118</f>
        <v>6</v>
      </c>
      <c r="F118">
        <f ca="1">_xlfn.XLOOKUP(A118,[1]LEYP_Input!A$2:A$389,[1]LEYP_Input!$C$2:$C$389)</f>
        <v>1</v>
      </c>
      <c r="G118">
        <f>Louisa_wConduits_Input_CSV!AZ118</f>
        <v>3</v>
      </c>
    </row>
    <row r="119" spans="1:7" x14ac:dyDescent="0.2">
      <c r="A119" t="str">
        <f>Louisa_wConduits_Input_CSV!B119</f>
        <v>P1021</v>
      </c>
      <c r="B119" t="str">
        <f>_xlfn.XLOOKUP(A119,[1]Conduits_Condition!$A$2:$A$389,[1]Conduits_Condition!$B$2:$B$389)</f>
        <v>AC</v>
      </c>
      <c r="C119">
        <f ca="1">YEAR(TODAY())-_xlfn.XLOOKUP(A119,InstallDate!$B$2:$B$389,InstallDate!$BD$2:$BD$389)</f>
        <v>96</v>
      </c>
      <c r="D119">
        <f>Louisa_wConduits_Input_CSV!R119</f>
        <v>21.535794379999999</v>
      </c>
      <c r="E119">
        <f>Louisa_wConduits_Input_CSV!S119</f>
        <v>6</v>
      </c>
      <c r="F119">
        <f ca="1">_xlfn.XLOOKUP(A119,[1]LEYP_Input!A$2:A$389,[1]LEYP_Input!$C$2:$C$389)</f>
        <v>1</v>
      </c>
      <c r="G119">
        <f>Louisa_wConduits_Input_CSV!AZ119</f>
        <v>2</v>
      </c>
    </row>
    <row r="120" spans="1:7" x14ac:dyDescent="0.2">
      <c r="A120" t="str">
        <f>Louisa_wConduits_Input_CSV!B120</f>
        <v>P1023</v>
      </c>
      <c r="B120" t="str">
        <f>_xlfn.XLOOKUP(A120,[1]Conduits_Condition!$A$2:$A$389,[1]Conduits_Condition!$B$2:$B$389)</f>
        <v>AC</v>
      </c>
      <c r="C120">
        <f ca="1">YEAR(TODAY())-_xlfn.XLOOKUP(A120,InstallDate!$B$2:$B$389,InstallDate!$BD$2:$BD$389)</f>
        <v>76</v>
      </c>
      <c r="D120">
        <f>Louisa_wConduits_Input_CSV!R120</f>
        <v>369.63962479999998</v>
      </c>
      <c r="E120">
        <f>Louisa_wConduits_Input_CSV!S120</f>
        <v>6</v>
      </c>
      <c r="F120">
        <f ca="1">_xlfn.XLOOKUP(A120,[1]LEYP_Input!A$2:A$389,[1]LEYP_Input!$C$2:$C$389)</f>
        <v>1</v>
      </c>
      <c r="G120">
        <f>Louisa_wConduits_Input_CSV!AZ120</f>
        <v>2</v>
      </c>
    </row>
    <row r="121" spans="1:7" x14ac:dyDescent="0.2">
      <c r="A121" t="str">
        <f>Louisa_wConduits_Input_CSV!B121</f>
        <v>P1025</v>
      </c>
      <c r="B121" t="str">
        <f>_xlfn.XLOOKUP(A121,[1]Conduits_Condition!$A$2:$A$389,[1]Conduits_Condition!$B$2:$B$389)</f>
        <v>AC</v>
      </c>
      <c r="C121">
        <f ca="1">YEAR(TODAY())-_xlfn.XLOOKUP(A121,InstallDate!$B$2:$B$389,InstallDate!$BD$2:$BD$389)</f>
        <v>76</v>
      </c>
      <c r="D121">
        <f>Louisa_wConduits_Input_CSV!R121</f>
        <v>156.88113129999999</v>
      </c>
      <c r="E121">
        <f>Louisa_wConduits_Input_CSV!S121</f>
        <v>6</v>
      </c>
      <c r="F121">
        <f ca="1">_xlfn.XLOOKUP(A121,[1]LEYP_Input!A$2:A$389,[1]LEYP_Input!$C$2:$C$389)</f>
        <v>1</v>
      </c>
      <c r="G121">
        <f>Louisa_wConduits_Input_CSV!AZ121</f>
        <v>2</v>
      </c>
    </row>
    <row r="122" spans="1:7" x14ac:dyDescent="0.2">
      <c r="A122" t="str">
        <f>Louisa_wConduits_Input_CSV!B122</f>
        <v>P1027</v>
      </c>
      <c r="B122" t="str">
        <f>_xlfn.XLOOKUP(A122,[1]Conduits_Condition!$A$2:$A$389,[1]Conduits_Condition!$B$2:$B$389)</f>
        <v>AC</v>
      </c>
      <c r="C122">
        <f ca="1">YEAR(TODAY())-_xlfn.XLOOKUP(A122,InstallDate!$B$2:$B$389,InstallDate!$BD$2:$BD$389)</f>
        <v>76</v>
      </c>
      <c r="D122">
        <f>Louisa_wConduits_Input_CSV!R122</f>
        <v>450.31872179999999</v>
      </c>
      <c r="E122">
        <f>Louisa_wConduits_Input_CSV!S122</f>
        <v>6</v>
      </c>
      <c r="F122">
        <f ca="1">_xlfn.XLOOKUP(A122,[1]LEYP_Input!A$2:A$389,[1]LEYP_Input!$C$2:$C$389)</f>
        <v>1</v>
      </c>
      <c r="G122">
        <f>Louisa_wConduits_Input_CSV!AZ122</f>
        <v>2</v>
      </c>
    </row>
    <row r="123" spans="1:7" x14ac:dyDescent="0.2">
      <c r="A123" t="str">
        <f>Louisa_wConduits_Input_CSV!B123</f>
        <v>P1029</v>
      </c>
      <c r="B123" t="str">
        <f>_xlfn.XLOOKUP(A123,[1]Conduits_Condition!$A$2:$A$389,[1]Conduits_Condition!$B$2:$B$389)</f>
        <v>AC</v>
      </c>
      <c r="C123">
        <f ca="1">YEAR(TODAY())-_xlfn.XLOOKUP(A123,InstallDate!$B$2:$B$389,InstallDate!$BD$2:$BD$389)</f>
        <v>96</v>
      </c>
      <c r="D123">
        <f>Louisa_wConduits_Input_CSV!R123</f>
        <v>526.90020549999997</v>
      </c>
      <c r="E123">
        <f>Louisa_wConduits_Input_CSV!S123</f>
        <v>6</v>
      </c>
      <c r="F123">
        <f ca="1">_xlfn.XLOOKUP(A123,[1]LEYP_Input!A$2:A$389,[1]LEYP_Input!$C$2:$C$389)</f>
        <v>1</v>
      </c>
      <c r="G123">
        <f>Louisa_wConduits_Input_CSV!AZ123</f>
        <v>2</v>
      </c>
    </row>
    <row r="124" spans="1:7" x14ac:dyDescent="0.2">
      <c r="A124" t="str">
        <f>Louisa_wConduits_Input_CSV!B124</f>
        <v>P1031</v>
      </c>
      <c r="B124" t="str">
        <f>_xlfn.XLOOKUP(A124,[1]Conduits_Condition!$A$2:$A$389,[1]Conduits_Condition!$B$2:$B$389)</f>
        <v>AC</v>
      </c>
      <c r="C124">
        <f ca="1">YEAR(TODAY())-_xlfn.XLOOKUP(A124,InstallDate!$B$2:$B$389,InstallDate!$BD$2:$BD$389)</f>
        <v>96</v>
      </c>
      <c r="D124">
        <f>Louisa_wConduits_Input_CSV!R124</f>
        <v>516.18830720000005</v>
      </c>
      <c r="E124">
        <f>Louisa_wConduits_Input_CSV!S124</f>
        <v>6</v>
      </c>
      <c r="F124">
        <f ca="1">_xlfn.XLOOKUP(A124,[1]LEYP_Input!A$2:A$389,[1]LEYP_Input!$C$2:$C$389)</f>
        <v>1</v>
      </c>
      <c r="G124">
        <f>Louisa_wConduits_Input_CSV!AZ124</f>
        <v>2</v>
      </c>
    </row>
    <row r="125" spans="1:7" x14ac:dyDescent="0.2">
      <c r="A125" t="str">
        <f>Louisa_wConduits_Input_CSV!B125</f>
        <v>P1033</v>
      </c>
      <c r="B125" t="str">
        <f>_xlfn.XLOOKUP(A125,[1]Conduits_Condition!$A$2:$A$389,[1]Conduits_Condition!$B$2:$B$389)</f>
        <v>AC</v>
      </c>
      <c r="C125">
        <f ca="1">YEAR(TODAY())-_xlfn.XLOOKUP(A125,InstallDate!$B$2:$B$389,InstallDate!$BD$2:$BD$389)</f>
        <v>76</v>
      </c>
      <c r="D125">
        <f>Louisa_wConduits_Input_CSV!R125</f>
        <v>342.58339969999997</v>
      </c>
      <c r="E125">
        <f>Louisa_wConduits_Input_CSV!S125</f>
        <v>6</v>
      </c>
      <c r="F125">
        <f ca="1">_xlfn.XLOOKUP(A125,[1]LEYP_Input!A$2:A$389,[1]LEYP_Input!$C$2:$C$389)</f>
        <v>1</v>
      </c>
      <c r="G125">
        <f>Louisa_wConduits_Input_CSV!AZ125</f>
        <v>2</v>
      </c>
    </row>
    <row r="126" spans="1:7" x14ac:dyDescent="0.2">
      <c r="A126" t="str">
        <f>Louisa_wConduits_Input_CSV!B126</f>
        <v>P1035</v>
      </c>
      <c r="B126" t="str">
        <f>_xlfn.XLOOKUP(A126,[1]Conduits_Condition!$A$2:$A$389,[1]Conduits_Condition!$B$2:$B$389)</f>
        <v>AC</v>
      </c>
      <c r="C126">
        <f ca="1">YEAR(TODAY())-_xlfn.XLOOKUP(A126,InstallDate!$B$2:$B$389,InstallDate!$BD$2:$BD$389)</f>
        <v>76</v>
      </c>
      <c r="D126">
        <f>Louisa_wConduits_Input_CSV!R126</f>
        <v>41.49223507</v>
      </c>
      <c r="E126">
        <f>Louisa_wConduits_Input_CSV!S126</f>
        <v>6</v>
      </c>
      <c r="F126">
        <f ca="1">_xlfn.XLOOKUP(A126,[1]LEYP_Input!A$2:A$389,[1]LEYP_Input!$C$2:$C$389)</f>
        <v>1</v>
      </c>
      <c r="G126">
        <f>Louisa_wConduits_Input_CSV!AZ126</f>
        <v>2</v>
      </c>
    </row>
    <row r="127" spans="1:7" x14ac:dyDescent="0.2">
      <c r="A127" t="str">
        <f>Louisa_wConduits_Input_CSV!B127</f>
        <v>P1037</v>
      </c>
      <c r="B127" t="str">
        <f>_xlfn.XLOOKUP(A127,[1]Conduits_Condition!$A$2:$A$389,[1]Conduits_Condition!$B$2:$B$389)</f>
        <v>AC</v>
      </c>
      <c r="C127">
        <f ca="1">YEAR(TODAY())-_xlfn.XLOOKUP(A127,InstallDate!$B$2:$B$389,InstallDate!$BD$2:$BD$389)</f>
        <v>76</v>
      </c>
      <c r="D127">
        <f>Louisa_wConduits_Input_CSV!R127</f>
        <v>476.6290482</v>
      </c>
      <c r="E127">
        <f>Louisa_wConduits_Input_CSV!S127</f>
        <v>6</v>
      </c>
      <c r="F127">
        <f ca="1">_xlfn.XLOOKUP(A127,[1]LEYP_Input!A$2:A$389,[1]LEYP_Input!$C$2:$C$389)</f>
        <v>1</v>
      </c>
      <c r="G127">
        <f>Louisa_wConduits_Input_CSV!AZ127</f>
        <v>2</v>
      </c>
    </row>
    <row r="128" spans="1:7" x14ac:dyDescent="0.2">
      <c r="A128" t="str">
        <f>Louisa_wConduits_Input_CSV!B128</f>
        <v>P1039</v>
      </c>
      <c r="B128" t="str">
        <f>_xlfn.XLOOKUP(A128,[1]Conduits_Condition!$A$2:$A$389,[1]Conduits_Condition!$B$2:$B$389)</f>
        <v>AC</v>
      </c>
      <c r="C128">
        <f ca="1">YEAR(TODAY())-_xlfn.XLOOKUP(A128,InstallDate!$B$2:$B$389,InstallDate!$BD$2:$BD$389)</f>
        <v>96</v>
      </c>
      <c r="D128">
        <f>Louisa_wConduits_Input_CSV!R128</f>
        <v>390.25281289999998</v>
      </c>
      <c r="E128">
        <f>Louisa_wConduits_Input_CSV!S128</f>
        <v>6</v>
      </c>
      <c r="F128">
        <f ca="1">_xlfn.XLOOKUP(A128,[1]LEYP_Input!A$2:A$389,[1]LEYP_Input!$C$2:$C$389)</f>
        <v>1</v>
      </c>
      <c r="G128">
        <f>Louisa_wConduits_Input_CSV!AZ128</f>
        <v>1</v>
      </c>
    </row>
    <row r="129" spans="1:7" x14ac:dyDescent="0.2">
      <c r="A129" t="str">
        <f>Louisa_wConduits_Input_CSV!B129</f>
        <v>P1041</v>
      </c>
      <c r="B129" t="str">
        <f>_xlfn.XLOOKUP(A129,[1]Conduits_Condition!$A$2:$A$389,[1]Conduits_Condition!$B$2:$B$389)</f>
        <v>AC</v>
      </c>
      <c r="C129">
        <f ca="1">YEAR(TODAY())-_xlfn.XLOOKUP(A129,InstallDate!$B$2:$B$389,InstallDate!$BD$2:$BD$389)</f>
        <v>76</v>
      </c>
      <c r="D129">
        <f>Louisa_wConduits_Input_CSV!R129</f>
        <v>26.67392697</v>
      </c>
      <c r="E129">
        <f>Louisa_wConduits_Input_CSV!S129</f>
        <v>6</v>
      </c>
      <c r="F129">
        <f ca="1">_xlfn.XLOOKUP(A129,[1]LEYP_Input!A$2:A$389,[1]LEYP_Input!$C$2:$C$389)</f>
        <v>1</v>
      </c>
      <c r="G129">
        <f>Louisa_wConduits_Input_CSV!AZ129</f>
        <v>1</v>
      </c>
    </row>
    <row r="130" spans="1:7" x14ac:dyDescent="0.2">
      <c r="A130" t="str">
        <f>Louisa_wConduits_Input_CSV!B130</f>
        <v>P1045</v>
      </c>
      <c r="B130" t="str">
        <f>_xlfn.XLOOKUP(A130,[1]Conduits_Condition!$A$2:$A$389,[1]Conduits_Condition!$B$2:$B$389)</f>
        <v>Default</v>
      </c>
      <c r="C130">
        <f ca="1">YEAR(TODAY())-_xlfn.XLOOKUP(A130,InstallDate!$B$2:$B$389,InstallDate!$BD$2:$BD$389)</f>
        <v>76</v>
      </c>
      <c r="D130">
        <f>Louisa_wConduits_Input_CSV!R130</f>
        <v>641</v>
      </c>
      <c r="E130">
        <f>Louisa_wConduits_Input_CSV!S130</f>
        <v>6</v>
      </c>
      <c r="F130">
        <f ca="1">_xlfn.XLOOKUP(A130,[1]LEYP_Input!A$2:A$389,[1]LEYP_Input!$C$2:$C$389)</f>
        <v>1</v>
      </c>
      <c r="G130">
        <f>Louisa_wConduits_Input_CSV!AZ130</f>
        <v>1</v>
      </c>
    </row>
    <row r="131" spans="1:7" x14ac:dyDescent="0.2">
      <c r="A131" t="str">
        <f>Louisa_wConduits_Input_CSV!B131</f>
        <v>P1047</v>
      </c>
      <c r="B131" t="str">
        <f>_xlfn.XLOOKUP(A131,[1]Conduits_Condition!$A$2:$A$389,[1]Conduits_Condition!$B$2:$B$389)</f>
        <v>AC</v>
      </c>
      <c r="C131">
        <f ca="1">YEAR(TODAY())-_xlfn.XLOOKUP(A131,InstallDate!$B$2:$B$389,InstallDate!$BD$2:$BD$389)</f>
        <v>96</v>
      </c>
      <c r="D131">
        <f>Louisa_wConduits_Input_CSV!R131</f>
        <v>378.2652544</v>
      </c>
      <c r="E131">
        <f>Louisa_wConduits_Input_CSV!S131</f>
        <v>6</v>
      </c>
      <c r="F131">
        <f ca="1">_xlfn.XLOOKUP(A131,[1]LEYP_Input!A$2:A$389,[1]LEYP_Input!$C$2:$C$389)</f>
        <v>1</v>
      </c>
      <c r="G131">
        <f>Louisa_wConduits_Input_CSV!AZ131</f>
        <v>1</v>
      </c>
    </row>
    <row r="132" spans="1:7" x14ac:dyDescent="0.2">
      <c r="A132" t="str">
        <f>Louisa_wConduits_Input_CSV!B132</f>
        <v>P1049</v>
      </c>
      <c r="B132" t="str">
        <f>_xlfn.XLOOKUP(A132,[1]Conduits_Condition!$A$2:$A$389,[1]Conduits_Condition!$B$2:$B$389)</f>
        <v>CI</v>
      </c>
      <c r="C132">
        <f ca="1">YEAR(TODAY())-_xlfn.XLOOKUP(A132,InstallDate!$B$2:$B$389,InstallDate!$BD$2:$BD$389)</f>
        <v>96</v>
      </c>
      <c r="D132">
        <f>Louisa_wConduits_Input_CSV!R132</f>
        <v>22.167174540000001</v>
      </c>
      <c r="E132">
        <f>Louisa_wConduits_Input_CSV!S132</f>
        <v>6</v>
      </c>
      <c r="F132">
        <f ca="1">_xlfn.XLOOKUP(A132,[1]LEYP_Input!A$2:A$389,[1]LEYP_Input!$C$2:$C$389)</f>
        <v>1</v>
      </c>
      <c r="G132">
        <f>Louisa_wConduits_Input_CSV!AZ132</f>
        <v>2</v>
      </c>
    </row>
    <row r="133" spans="1:7" x14ac:dyDescent="0.2">
      <c r="A133" t="str">
        <f>Louisa_wConduits_Input_CSV!B133</f>
        <v>P1051</v>
      </c>
      <c r="B133" t="str">
        <f>_xlfn.XLOOKUP(A133,[1]Conduits_Condition!$A$2:$A$389,[1]Conduits_Condition!$B$2:$B$389)</f>
        <v>CI</v>
      </c>
      <c r="C133">
        <f ca="1">YEAR(TODAY())-_xlfn.XLOOKUP(A133,InstallDate!$B$2:$B$389,InstallDate!$BD$2:$BD$389)</f>
        <v>96</v>
      </c>
      <c r="D133">
        <f>Louisa_wConduits_Input_CSV!R133</f>
        <v>287.34180609999999</v>
      </c>
      <c r="E133">
        <f>Louisa_wConduits_Input_CSV!S133</f>
        <v>6</v>
      </c>
      <c r="F133">
        <f ca="1">_xlfn.XLOOKUP(A133,[1]LEYP_Input!A$2:A$389,[1]LEYP_Input!$C$2:$C$389)</f>
        <v>1</v>
      </c>
      <c r="G133">
        <f>Louisa_wConduits_Input_CSV!AZ133</f>
        <v>2</v>
      </c>
    </row>
    <row r="134" spans="1:7" x14ac:dyDescent="0.2">
      <c r="A134" t="str">
        <f>Louisa_wConduits_Input_CSV!B134</f>
        <v>P1053</v>
      </c>
      <c r="B134" t="str">
        <f>_xlfn.XLOOKUP(A134,[1]Conduits_Condition!$A$2:$A$389,[1]Conduits_Condition!$B$2:$B$389)</f>
        <v>CI</v>
      </c>
      <c r="C134">
        <f ca="1">YEAR(TODAY())-_xlfn.XLOOKUP(A134,InstallDate!$B$2:$B$389,InstallDate!$BD$2:$BD$389)</f>
        <v>96</v>
      </c>
      <c r="D134">
        <f>Louisa_wConduits_Input_CSV!R134</f>
        <v>87.760714019999995</v>
      </c>
      <c r="E134">
        <f>Louisa_wConduits_Input_CSV!S134</f>
        <v>6</v>
      </c>
      <c r="F134">
        <f ca="1">_xlfn.XLOOKUP(A134,[1]LEYP_Input!A$2:A$389,[1]LEYP_Input!$C$2:$C$389)</f>
        <v>1</v>
      </c>
      <c r="G134">
        <f>Louisa_wConduits_Input_CSV!AZ134</f>
        <v>2</v>
      </c>
    </row>
    <row r="135" spans="1:7" x14ac:dyDescent="0.2">
      <c r="A135" t="str">
        <f>Louisa_wConduits_Input_CSV!B135</f>
        <v>P1055</v>
      </c>
      <c r="B135" t="str">
        <f>_xlfn.XLOOKUP(A135,[1]Conduits_Condition!$A$2:$A$389,[1]Conduits_Condition!$B$2:$B$389)</f>
        <v>CI</v>
      </c>
      <c r="C135">
        <f ca="1">YEAR(TODAY())-_xlfn.XLOOKUP(A135,InstallDate!$B$2:$B$389,InstallDate!$BD$2:$BD$389)</f>
        <v>96</v>
      </c>
      <c r="D135">
        <f>Louisa_wConduits_Input_CSV!R135</f>
        <v>50.64131166</v>
      </c>
      <c r="E135">
        <f>Louisa_wConduits_Input_CSV!S135</f>
        <v>6</v>
      </c>
      <c r="F135">
        <f ca="1">_xlfn.XLOOKUP(A135,[1]LEYP_Input!A$2:A$389,[1]LEYP_Input!$C$2:$C$389)</f>
        <v>1</v>
      </c>
      <c r="G135">
        <f>Louisa_wConduits_Input_CSV!AZ135</f>
        <v>2</v>
      </c>
    </row>
    <row r="136" spans="1:7" x14ac:dyDescent="0.2">
      <c r="A136" t="str">
        <f>Louisa_wConduits_Input_CSV!B136</f>
        <v>P1057</v>
      </c>
      <c r="B136" t="str">
        <f>_xlfn.XLOOKUP(A136,[1]Conduits_Condition!$A$2:$A$389,[1]Conduits_Condition!$B$2:$B$389)</f>
        <v>CI</v>
      </c>
      <c r="C136">
        <f ca="1">YEAR(TODAY())-_xlfn.XLOOKUP(A136,InstallDate!$B$2:$B$389,InstallDate!$BD$2:$BD$389)</f>
        <v>96</v>
      </c>
      <c r="D136">
        <f>Louisa_wConduits_Input_CSV!R136</f>
        <v>29.594033899999999</v>
      </c>
      <c r="E136">
        <f>Louisa_wConduits_Input_CSV!S136</f>
        <v>6</v>
      </c>
      <c r="F136">
        <f ca="1">_xlfn.XLOOKUP(A136,[1]LEYP_Input!A$2:A$389,[1]LEYP_Input!$C$2:$C$389)</f>
        <v>1</v>
      </c>
      <c r="G136">
        <f>Louisa_wConduits_Input_CSV!AZ136</f>
        <v>2</v>
      </c>
    </row>
    <row r="137" spans="1:7" x14ac:dyDescent="0.2">
      <c r="A137" t="str">
        <f>Louisa_wConduits_Input_CSV!B137</f>
        <v>P1059</v>
      </c>
      <c r="B137" t="str">
        <f>_xlfn.XLOOKUP(A137,[1]Conduits_Condition!$A$2:$A$389,[1]Conduits_Condition!$B$2:$B$389)</f>
        <v>CI</v>
      </c>
      <c r="C137">
        <f ca="1">YEAR(TODAY())-_xlfn.XLOOKUP(A137,InstallDate!$B$2:$B$389,InstallDate!$BD$2:$BD$389)</f>
        <v>96</v>
      </c>
      <c r="D137">
        <f>Louisa_wConduits_Input_CSV!R137</f>
        <v>91.930452040000006</v>
      </c>
      <c r="E137">
        <f>Louisa_wConduits_Input_CSV!S137</f>
        <v>6</v>
      </c>
      <c r="F137">
        <f ca="1">_xlfn.XLOOKUP(A137,[1]LEYP_Input!A$2:A$389,[1]LEYP_Input!$C$2:$C$389)</f>
        <v>1</v>
      </c>
      <c r="G137">
        <f>Louisa_wConduits_Input_CSV!AZ137</f>
        <v>2</v>
      </c>
    </row>
    <row r="138" spans="1:7" x14ac:dyDescent="0.2">
      <c r="A138" t="str">
        <f>Louisa_wConduits_Input_CSV!B138</f>
        <v>P1061</v>
      </c>
      <c r="B138" t="str">
        <f>_xlfn.XLOOKUP(A138,[1]Conduits_Condition!$A$2:$A$389,[1]Conduits_Condition!$B$2:$B$389)</f>
        <v>CI</v>
      </c>
      <c r="C138">
        <f ca="1">YEAR(TODAY())-_xlfn.XLOOKUP(A138,InstallDate!$B$2:$B$389,InstallDate!$BD$2:$BD$389)</f>
        <v>96</v>
      </c>
      <c r="D138">
        <f>Louisa_wConduits_Input_CSV!R138</f>
        <v>530.42279429999996</v>
      </c>
      <c r="E138">
        <f>Louisa_wConduits_Input_CSV!S138</f>
        <v>6</v>
      </c>
      <c r="F138">
        <f ca="1">_xlfn.XLOOKUP(A138,[1]LEYP_Input!A$2:A$389,[1]LEYP_Input!$C$2:$C$389)</f>
        <v>1</v>
      </c>
      <c r="G138">
        <f>Louisa_wConduits_Input_CSV!AZ138</f>
        <v>2</v>
      </c>
    </row>
    <row r="139" spans="1:7" x14ac:dyDescent="0.2">
      <c r="A139" t="str">
        <f>Louisa_wConduits_Input_CSV!B139</f>
        <v>P1063</v>
      </c>
      <c r="B139" t="str">
        <f>_xlfn.XLOOKUP(A139,[1]Conduits_Condition!$A$2:$A$389,[1]Conduits_Condition!$B$2:$B$389)</f>
        <v>CI</v>
      </c>
      <c r="C139">
        <f ca="1">YEAR(TODAY())-_xlfn.XLOOKUP(A139,InstallDate!$B$2:$B$389,InstallDate!$BD$2:$BD$389)</f>
        <v>96</v>
      </c>
      <c r="D139">
        <f>Louisa_wConduits_Input_CSV!R139</f>
        <v>32.0622489</v>
      </c>
      <c r="E139">
        <f>Louisa_wConduits_Input_CSV!S139</f>
        <v>6</v>
      </c>
      <c r="F139">
        <f ca="1">_xlfn.XLOOKUP(A139,[1]LEYP_Input!A$2:A$389,[1]LEYP_Input!$C$2:$C$389)</f>
        <v>1</v>
      </c>
      <c r="G139">
        <f>Louisa_wConduits_Input_CSV!AZ139</f>
        <v>2</v>
      </c>
    </row>
    <row r="140" spans="1:7" x14ac:dyDescent="0.2">
      <c r="A140" t="str">
        <f>Louisa_wConduits_Input_CSV!B140</f>
        <v>P1065</v>
      </c>
      <c r="B140" t="str">
        <f>_xlfn.XLOOKUP(A140,[1]Conduits_Condition!$A$2:$A$389,[1]Conduits_Condition!$B$2:$B$389)</f>
        <v>CI</v>
      </c>
      <c r="C140">
        <f ca="1">YEAR(TODAY())-_xlfn.XLOOKUP(A140,InstallDate!$B$2:$B$389,InstallDate!$BD$2:$BD$389)</f>
        <v>96</v>
      </c>
      <c r="D140">
        <f>Louisa_wConduits_Input_CSV!R140</f>
        <v>157.04671640000001</v>
      </c>
      <c r="E140">
        <f>Louisa_wConduits_Input_CSV!S140</f>
        <v>6</v>
      </c>
      <c r="F140">
        <f ca="1">_xlfn.XLOOKUP(A140,[1]LEYP_Input!A$2:A$389,[1]LEYP_Input!$C$2:$C$389)</f>
        <v>1</v>
      </c>
      <c r="G140">
        <f>Louisa_wConduits_Input_CSV!AZ140</f>
        <v>2</v>
      </c>
    </row>
    <row r="141" spans="1:7" x14ac:dyDescent="0.2">
      <c r="A141" t="str">
        <f>Louisa_wConduits_Input_CSV!B141</f>
        <v>P1067</v>
      </c>
      <c r="B141" t="str">
        <f>_xlfn.XLOOKUP(A141,[1]Conduits_Condition!$A$2:$A$389,[1]Conduits_Condition!$B$2:$B$389)</f>
        <v>CI</v>
      </c>
      <c r="C141">
        <f ca="1">YEAR(TODAY())-_xlfn.XLOOKUP(A141,InstallDate!$B$2:$B$389,InstallDate!$BD$2:$BD$389)</f>
        <v>96</v>
      </c>
      <c r="D141">
        <f>Louisa_wConduits_Input_CSV!R141</f>
        <v>626.91723109999998</v>
      </c>
      <c r="E141">
        <f>Louisa_wConduits_Input_CSV!S141</f>
        <v>6</v>
      </c>
      <c r="F141">
        <f ca="1">_xlfn.XLOOKUP(A141,[1]LEYP_Input!A$2:A$389,[1]LEYP_Input!$C$2:$C$389)</f>
        <v>1</v>
      </c>
      <c r="G141">
        <f>Louisa_wConduits_Input_CSV!AZ141</f>
        <v>2</v>
      </c>
    </row>
    <row r="142" spans="1:7" x14ac:dyDescent="0.2">
      <c r="A142" t="str">
        <f>Louisa_wConduits_Input_CSV!B142</f>
        <v>P1069</v>
      </c>
      <c r="B142" t="str">
        <f>_xlfn.XLOOKUP(A142,[1]Conduits_Condition!$A$2:$A$389,[1]Conduits_Condition!$B$2:$B$389)</f>
        <v>CI</v>
      </c>
      <c r="C142">
        <f ca="1">YEAR(TODAY())-_xlfn.XLOOKUP(A142,InstallDate!$B$2:$B$389,InstallDate!$BD$2:$BD$389)</f>
        <v>96</v>
      </c>
      <c r="D142">
        <f>Louisa_wConduits_Input_CSV!R142</f>
        <v>39.018149430000001</v>
      </c>
      <c r="E142">
        <f>Louisa_wConduits_Input_CSV!S142</f>
        <v>6</v>
      </c>
      <c r="F142">
        <f ca="1">_xlfn.XLOOKUP(A142,[1]LEYP_Input!A$2:A$389,[1]LEYP_Input!$C$2:$C$389)</f>
        <v>1</v>
      </c>
      <c r="G142">
        <f>Louisa_wConduits_Input_CSV!AZ142</f>
        <v>3</v>
      </c>
    </row>
    <row r="143" spans="1:7" x14ac:dyDescent="0.2">
      <c r="A143" t="str">
        <f>Louisa_wConduits_Input_CSV!B143</f>
        <v>P1071</v>
      </c>
      <c r="B143" t="str">
        <f>_xlfn.XLOOKUP(A143,[1]Conduits_Condition!$A$2:$A$389,[1]Conduits_Condition!$B$2:$B$389)</f>
        <v>CI</v>
      </c>
      <c r="C143">
        <f ca="1">YEAR(TODAY())-_xlfn.XLOOKUP(A143,InstallDate!$B$2:$B$389,InstallDate!$BD$2:$BD$389)</f>
        <v>96</v>
      </c>
      <c r="D143">
        <f>Louisa_wConduits_Input_CSV!R143</f>
        <v>29.491778010000001</v>
      </c>
      <c r="E143">
        <f>Louisa_wConduits_Input_CSV!S143</f>
        <v>6</v>
      </c>
      <c r="F143">
        <f ca="1">_xlfn.XLOOKUP(A143,[1]LEYP_Input!A$2:A$389,[1]LEYP_Input!$C$2:$C$389)</f>
        <v>1</v>
      </c>
      <c r="G143">
        <f>Louisa_wConduits_Input_CSV!AZ143</f>
        <v>2</v>
      </c>
    </row>
    <row r="144" spans="1:7" x14ac:dyDescent="0.2">
      <c r="A144" t="str">
        <f>Louisa_wConduits_Input_CSV!B144</f>
        <v>P1073</v>
      </c>
      <c r="B144" t="str">
        <f>_xlfn.XLOOKUP(A144,[1]Conduits_Condition!$A$2:$A$389,[1]Conduits_Condition!$B$2:$B$389)</f>
        <v>CI</v>
      </c>
      <c r="C144">
        <f ca="1">YEAR(TODAY())-_xlfn.XLOOKUP(A144,InstallDate!$B$2:$B$389,InstallDate!$BD$2:$BD$389)</f>
        <v>96</v>
      </c>
      <c r="D144">
        <f>Louisa_wConduits_Input_CSV!R144</f>
        <v>143.73243790000001</v>
      </c>
      <c r="E144">
        <f>Louisa_wConduits_Input_CSV!S144</f>
        <v>6</v>
      </c>
      <c r="F144">
        <f ca="1">_xlfn.XLOOKUP(A144,[1]LEYP_Input!A$2:A$389,[1]LEYP_Input!$C$2:$C$389)</f>
        <v>1</v>
      </c>
      <c r="G144">
        <f>Louisa_wConduits_Input_CSV!AZ144</f>
        <v>3</v>
      </c>
    </row>
    <row r="145" spans="1:7" x14ac:dyDescent="0.2">
      <c r="A145" t="str">
        <f>Louisa_wConduits_Input_CSV!B145</f>
        <v>P1075</v>
      </c>
      <c r="B145" t="str">
        <f>_xlfn.XLOOKUP(A145,[1]Conduits_Condition!$A$2:$A$389,[1]Conduits_Condition!$B$2:$B$389)</f>
        <v>CI</v>
      </c>
      <c r="C145">
        <f ca="1">YEAR(TODAY())-_xlfn.XLOOKUP(A145,InstallDate!$B$2:$B$389,InstallDate!$BD$2:$BD$389)</f>
        <v>96</v>
      </c>
      <c r="D145">
        <f>Louisa_wConduits_Input_CSV!R145</f>
        <v>80.440652349999993</v>
      </c>
      <c r="E145">
        <f>Louisa_wConduits_Input_CSV!S145</f>
        <v>6</v>
      </c>
      <c r="F145">
        <f ca="1">_xlfn.XLOOKUP(A145,[1]LEYP_Input!A$2:A$389,[1]LEYP_Input!$C$2:$C$389)</f>
        <v>1</v>
      </c>
      <c r="G145">
        <f>Louisa_wConduits_Input_CSV!AZ145</f>
        <v>3</v>
      </c>
    </row>
    <row r="146" spans="1:7" x14ac:dyDescent="0.2">
      <c r="A146" t="str">
        <f>Louisa_wConduits_Input_CSV!B146</f>
        <v>P1077</v>
      </c>
      <c r="B146" t="str">
        <f>_xlfn.XLOOKUP(A146,[1]Conduits_Condition!$A$2:$A$389,[1]Conduits_Condition!$B$2:$B$389)</f>
        <v>CI</v>
      </c>
      <c r="C146">
        <f ca="1">YEAR(TODAY())-_xlfn.XLOOKUP(A146,InstallDate!$B$2:$B$389,InstallDate!$BD$2:$BD$389)</f>
        <v>96</v>
      </c>
      <c r="D146">
        <f>Louisa_wConduits_Input_CSV!R146</f>
        <v>24.68039997</v>
      </c>
      <c r="E146">
        <f>Louisa_wConduits_Input_CSV!S146</f>
        <v>8</v>
      </c>
      <c r="F146">
        <f ca="1">_xlfn.XLOOKUP(A146,[1]LEYP_Input!A$2:A$389,[1]LEYP_Input!$C$2:$C$389)</f>
        <v>1</v>
      </c>
      <c r="G146">
        <f>Louisa_wConduits_Input_CSV!AZ146</f>
        <v>3</v>
      </c>
    </row>
    <row r="147" spans="1:7" x14ac:dyDescent="0.2">
      <c r="A147" t="str">
        <f>Louisa_wConduits_Input_CSV!B147</f>
        <v>P1079</v>
      </c>
      <c r="B147" t="str">
        <f>_xlfn.XLOOKUP(A147,[1]Conduits_Condition!$A$2:$A$389,[1]Conduits_Condition!$B$2:$B$389)</f>
        <v>CI</v>
      </c>
      <c r="C147">
        <f ca="1">YEAR(TODAY())-_xlfn.XLOOKUP(A147,InstallDate!$B$2:$B$389,InstallDate!$BD$2:$BD$389)</f>
        <v>96</v>
      </c>
      <c r="D147">
        <f>Louisa_wConduits_Input_CSV!R147</f>
        <v>231.07360009999999</v>
      </c>
      <c r="E147">
        <f>Louisa_wConduits_Input_CSV!S147</f>
        <v>8</v>
      </c>
      <c r="F147">
        <f ca="1">_xlfn.XLOOKUP(A147,[1]LEYP_Input!A$2:A$389,[1]LEYP_Input!$C$2:$C$389)</f>
        <v>1</v>
      </c>
      <c r="G147">
        <f>Louisa_wConduits_Input_CSV!AZ147</f>
        <v>2</v>
      </c>
    </row>
    <row r="148" spans="1:7" x14ac:dyDescent="0.2">
      <c r="A148" t="str">
        <f>Louisa_wConduits_Input_CSV!B148</f>
        <v>P1081</v>
      </c>
      <c r="B148" t="str">
        <f>_xlfn.XLOOKUP(A148,[1]Conduits_Condition!$A$2:$A$389,[1]Conduits_Condition!$B$2:$B$389)</f>
        <v>CI</v>
      </c>
      <c r="C148">
        <f ca="1">YEAR(TODAY())-_xlfn.XLOOKUP(A148,InstallDate!$B$2:$B$389,InstallDate!$BD$2:$BD$389)</f>
        <v>96</v>
      </c>
      <c r="D148">
        <f>Louisa_wConduits_Input_CSV!R148</f>
        <v>139.54423940000001</v>
      </c>
      <c r="E148">
        <f>Louisa_wConduits_Input_CSV!S148</f>
        <v>8</v>
      </c>
      <c r="F148">
        <f ca="1">_xlfn.XLOOKUP(A148,[1]LEYP_Input!A$2:A$389,[1]LEYP_Input!$C$2:$C$389)</f>
        <v>1</v>
      </c>
      <c r="G148">
        <f>Louisa_wConduits_Input_CSV!AZ148</f>
        <v>2</v>
      </c>
    </row>
    <row r="149" spans="1:7" x14ac:dyDescent="0.2">
      <c r="A149" t="str">
        <f>Louisa_wConduits_Input_CSV!B149</f>
        <v>P1083</v>
      </c>
      <c r="B149" t="str">
        <f>_xlfn.XLOOKUP(A149,[1]Conduits_Condition!$A$2:$A$389,[1]Conduits_Condition!$B$2:$B$389)</f>
        <v>CI</v>
      </c>
      <c r="C149">
        <f ca="1">YEAR(TODAY())-_xlfn.XLOOKUP(A149,InstallDate!$B$2:$B$389,InstallDate!$BD$2:$BD$389)</f>
        <v>96</v>
      </c>
      <c r="D149">
        <f>Louisa_wConduits_Input_CSV!R149</f>
        <v>200.88721269999999</v>
      </c>
      <c r="E149">
        <f>Louisa_wConduits_Input_CSV!S149</f>
        <v>8</v>
      </c>
      <c r="F149">
        <f ca="1">_xlfn.XLOOKUP(A149,[1]LEYP_Input!A$2:A$389,[1]LEYP_Input!$C$2:$C$389)</f>
        <v>1</v>
      </c>
      <c r="G149">
        <f>Louisa_wConduits_Input_CSV!AZ149</f>
        <v>2</v>
      </c>
    </row>
    <row r="150" spans="1:7" x14ac:dyDescent="0.2">
      <c r="A150" t="str">
        <f>Louisa_wConduits_Input_CSV!B150</f>
        <v>P1085</v>
      </c>
      <c r="B150" t="str">
        <f>_xlfn.XLOOKUP(A150,[1]Conduits_Condition!$A$2:$A$389,[1]Conduits_Condition!$B$2:$B$389)</f>
        <v>CI</v>
      </c>
      <c r="C150">
        <f ca="1">YEAR(TODAY())-_xlfn.XLOOKUP(A150,InstallDate!$B$2:$B$389,InstallDate!$BD$2:$BD$389)</f>
        <v>96</v>
      </c>
      <c r="D150">
        <f>Louisa_wConduits_Input_CSV!R150</f>
        <v>49.172243829999999</v>
      </c>
      <c r="E150">
        <f>Louisa_wConduits_Input_CSV!S150</f>
        <v>8</v>
      </c>
      <c r="F150">
        <f ca="1">_xlfn.XLOOKUP(A150,[1]LEYP_Input!A$2:A$389,[1]LEYP_Input!$C$2:$C$389)</f>
        <v>1</v>
      </c>
      <c r="G150">
        <f>Louisa_wConduits_Input_CSV!AZ150</f>
        <v>3</v>
      </c>
    </row>
    <row r="151" spans="1:7" x14ac:dyDescent="0.2">
      <c r="A151" t="str">
        <f>Louisa_wConduits_Input_CSV!B151</f>
        <v>P1087</v>
      </c>
      <c r="B151" t="str">
        <f>_xlfn.XLOOKUP(A151,[1]Conduits_Condition!$A$2:$A$389,[1]Conduits_Condition!$B$2:$B$389)</f>
        <v>CI</v>
      </c>
      <c r="C151">
        <f ca="1">YEAR(TODAY())-_xlfn.XLOOKUP(A151,InstallDate!$B$2:$B$389,InstallDate!$BD$2:$BD$389)</f>
        <v>96</v>
      </c>
      <c r="D151">
        <f>Louisa_wConduits_Input_CSV!R151</f>
        <v>17.303147840000001</v>
      </c>
      <c r="E151">
        <f>Louisa_wConduits_Input_CSV!S151</f>
        <v>8</v>
      </c>
      <c r="F151">
        <f ca="1">_xlfn.XLOOKUP(A151,[1]LEYP_Input!A$2:A$389,[1]LEYP_Input!$C$2:$C$389)</f>
        <v>1</v>
      </c>
      <c r="G151">
        <f>Louisa_wConduits_Input_CSV!AZ151</f>
        <v>3</v>
      </c>
    </row>
    <row r="152" spans="1:7" x14ac:dyDescent="0.2">
      <c r="A152" t="str">
        <f>Louisa_wConduits_Input_CSV!B152</f>
        <v>P1089</v>
      </c>
      <c r="B152" t="str">
        <f>_xlfn.XLOOKUP(A152,[1]Conduits_Condition!$A$2:$A$389,[1]Conduits_Condition!$B$2:$B$389)</f>
        <v>AC</v>
      </c>
      <c r="C152">
        <f ca="1">YEAR(TODAY())-_xlfn.XLOOKUP(A152,InstallDate!$B$2:$B$389,InstallDate!$BD$2:$BD$389)</f>
        <v>96</v>
      </c>
      <c r="D152">
        <f>Louisa_wConduits_Input_CSV!R152</f>
        <v>343.81559019999997</v>
      </c>
      <c r="E152">
        <f>Louisa_wConduits_Input_CSV!S152</f>
        <v>6</v>
      </c>
      <c r="F152">
        <f ca="1">_xlfn.XLOOKUP(A152,[1]LEYP_Input!A$2:A$389,[1]LEYP_Input!$C$2:$C$389)</f>
        <v>1</v>
      </c>
      <c r="G152">
        <f>Louisa_wConduits_Input_CSV!AZ152</f>
        <v>2</v>
      </c>
    </row>
    <row r="153" spans="1:7" x14ac:dyDescent="0.2">
      <c r="A153" t="str">
        <f>Louisa_wConduits_Input_CSV!B153</f>
        <v>P1091</v>
      </c>
      <c r="B153" t="str">
        <f>_xlfn.XLOOKUP(A153,[1]Conduits_Condition!$A$2:$A$389,[1]Conduits_Condition!$B$2:$B$389)</f>
        <v>AC</v>
      </c>
      <c r="C153">
        <f ca="1">YEAR(TODAY())-_xlfn.XLOOKUP(A153,InstallDate!$B$2:$B$389,InstallDate!$BD$2:$BD$389)</f>
        <v>76</v>
      </c>
      <c r="D153">
        <f>Louisa_wConduits_Input_CSV!R153</f>
        <v>281.80749159999999</v>
      </c>
      <c r="E153">
        <f>Louisa_wConduits_Input_CSV!S153</f>
        <v>6</v>
      </c>
      <c r="F153">
        <f ca="1">_xlfn.XLOOKUP(A153,[1]LEYP_Input!A$2:A$389,[1]LEYP_Input!$C$2:$C$389)</f>
        <v>1</v>
      </c>
      <c r="G153">
        <f>Louisa_wConduits_Input_CSV!AZ153</f>
        <v>2</v>
      </c>
    </row>
    <row r="154" spans="1:7" x14ac:dyDescent="0.2">
      <c r="A154" t="str">
        <f>Louisa_wConduits_Input_CSV!B154</f>
        <v>P1093</v>
      </c>
      <c r="B154" t="str">
        <f>_xlfn.XLOOKUP(A154,[1]Conduits_Condition!$A$2:$A$389,[1]Conduits_Condition!$B$2:$B$389)</f>
        <v>AC</v>
      </c>
      <c r="C154">
        <f ca="1">YEAR(TODAY())-_xlfn.XLOOKUP(A154,InstallDate!$B$2:$B$389,InstallDate!$BD$2:$BD$389)</f>
        <v>76</v>
      </c>
      <c r="D154">
        <f>Louisa_wConduits_Input_CSV!R154</f>
        <v>252.0684287</v>
      </c>
      <c r="E154">
        <f>Louisa_wConduits_Input_CSV!S154</f>
        <v>6</v>
      </c>
      <c r="F154">
        <f ca="1">_xlfn.XLOOKUP(A154,[1]LEYP_Input!A$2:A$389,[1]LEYP_Input!$C$2:$C$389)</f>
        <v>1</v>
      </c>
      <c r="G154">
        <f>Louisa_wConduits_Input_CSV!AZ154</f>
        <v>2</v>
      </c>
    </row>
    <row r="155" spans="1:7" x14ac:dyDescent="0.2">
      <c r="A155" t="str">
        <f>Louisa_wConduits_Input_CSV!B155</f>
        <v>P1095</v>
      </c>
      <c r="B155" t="str">
        <f>_xlfn.XLOOKUP(A155,[1]Conduits_Condition!$A$2:$A$389,[1]Conduits_Condition!$B$2:$B$389)</f>
        <v>AC</v>
      </c>
      <c r="C155">
        <f ca="1">YEAR(TODAY())-_xlfn.XLOOKUP(A155,InstallDate!$B$2:$B$389,InstallDate!$BD$2:$BD$389)</f>
        <v>76</v>
      </c>
      <c r="D155">
        <f>Louisa_wConduits_Input_CSV!R155</f>
        <v>310.31780090000001</v>
      </c>
      <c r="E155">
        <f>Louisa_wConduits_Input_CSV!S155</f>
        <v>6</v>
      </c>
      <c r="F155">
        <f ca="1">_xlfn.XLOOKUP(A155,[1]LEYP_Input!A$2:A$389,[1]LEYP_Input!$C$2:$C$389)</f>
        <v>1</v>
      </c>
      <c r="G155">
        <f>Louisa_wConduits_Input_CSV!AZ155</f>
        <v>3</v>
      </c>
    </row>
    <row r="156" spans="1:7" x14ac:dyDescent="0.2">
      <c r="A156" t="str">
        <f>Louisa_wConduits_Input_CSV!B156</f>
        <v>P1097</v>
      </c>
      <c r="B156" t="str">
        <f>_xlfn.XLOOKUP(A156,[1]Conduits_Condition!$A$2:$A$389,[1]Conduits_Condition!$B$2:$B$389)</f>
        <v>AC</v>
      </c>
      <c r="C156">
        <f ca="1">YEAR(TODAY())-_xlfn.XLOOKUP(A156,InstallDate!$B$2:$B$389,InstallDate!$BD$2:$BD$389)</f>
        <v>76</v>
      </c>
      <c r="D156">
        <f>Louisa_wConduits_Input_CSV!R156</f>
        <v>67.823016280000004</v>
      </c>
      <c r="E156">
        <f>Louisa_wConduits_Input_CSV!S156</f>
        <v>6</v>
      </c>
      <c r="F156">
        <f ca="1">_xlfn.XLOOKUP(A156,[1]LEYP_Input!A$2:A$389,[1]LEYP_Input!$C$2:$C$389)</f>
        <v>1</v>
      </c>
      <c r="G156">
        <f>Louisa_wConduits_Input_CSV!AZ156</f>
        <v>3</v>
      </c>
    </row>
    <row r="157" spans="1:7" x14ac:dyDescent="0.2">
      <c r="A157" t="str">
        <f>Louisa_wConduits_Input_CSV!B157</f>
        <v>P1099</v>
      </c>
      <c r="B157" t="str">
        <f>_xlfn.XLOOKUP(A157,[1]Conduits_Condition!$A$2:$A$389,[1]Conduits_Condition!$B$2:$B$389)</f>
        <v>AC</v>
      </c>
      <c r="C157">
        <f ca="1">YEAR(TODAY())-_xlfn.XLOOKUP(A157,InstallDate!$B$2:$B$389,InstallDate!$BD$2:$BD$389)</f>
        <v>96</v>
      </c>
      <c r="D157">
        <f>Louisa_wConduits_Input_CSV!R157</f>
        <v>475.74672140000001</v>
      </c>
      <c r="E157">
        <f>Louisa_wConduits_Input_CSV!S157</f>
        <v>6</v>
      </c>
      <c r="F157">
        <f ca="1">_xlfn.XLOOKUP(A157,[1]LEYP_Input!A$2:A$389,[1]LEYP_Input!$C$2:$C$389)</f>
        <v>1</v>
      </c>
      <c r="G157">
        <f>Louisa_wConduits_Input_CSV!AZ157</f>
        <v>2</v>
      </c>
    </row>
    <row r="158" spans="1:7" x14ac:dyDescent="0.2">
      <c r="A158" t="str">
        <f>Louisa_wConduits_Input_CSV!B158</f>
        <v>P1101</v>
      </c>
      <c r="B158" t="str">
        <f>_xlfn.XLOOKUP(A158,[1]Conduits_Condition!$A$2:$A$389,[1]Conduits_Condition!$B$2:$B$389)</f>
        <v>AC</v>
      </c>
      <c r="C158">
        <f ca="1">YEAR(TODAY())-_xlfn.XLOOKUP(A158,InstallDate!$B$2:$B$389,InstallDate!$BD$2:$BD$389)</f>
        <v>96</v>
      </c>
      <c r="D158">
        <f>Louisa_wConduits_Input_CSV!R158</f>
        <v>132.86289909999999</v>
      </c>
      <c r="E158">
        <f>Louisa_wConduits_Input_CSV!S158</f>
        <v>6</v>
      </c>
      <c r="F158">
        <f ca="1">_xlfn.XLOOKUP(A158,[1]LEYP_Input!A$2:A$389,[1]LEYP_Input!$C$2:$C$389)</f>
        <v>1</v>
      </c>
      <c r="G158">
        <f>Louisa_wConduits_Input_CSV!AZ158</f>
        <v>2</v>
      </c>
    </row>
    <row r="159" spans="1:7" x14ac:dyDescent="0.2">
      <c r="A159" t="str">
        <f>Louisa_wConduits_Input_CSV!B159</f>
        <v>P1103</v>
      </c>
      <c r="B159" t="str">
        <f>_xlfn.XLOOKUP(A159,[1]Conduits_Condition!$A$2:$A$389,[1]Conduits_Condition!$B$2:$B$389)</f>
        <v>AC</v>
      </c>
      <c r="C159">
        <f ca="1">YEAR(TODAY())-_xlfn.XLOOKUP(A159,InstallDate!$B$2:$B$389,InstallDate!$BD$2:$BD$389)</f>
        <v>76</v>
      </c>
      <c r="D159">
        <f>Louisa_wConduits_Input_CSV!R159</f>
        <v>22.434131499999999</v>
      </c>
      <c r="E159">
        <f>Louisa_wConduits_Input_CSV!S159</f>
        <v>6</v>
      </c>
      <c r="F159">
        <f ca="1">_xlfn.XLOOKUP(A159,[1]LEYP_Input!A$2:A$389,[1]LEYP_Input!$C$2:$C$389)</f>
        <v>1</v>
      </c>
      <c r="G159">
        <f>Louisa_wConduits_Input_CSV!AZ159</f>
        <v>3</v>
      </c>
    </row>
    <row r="160" spans="1:7" x14ac:dyDescent="0.2">
      <c r="A160" t="str">
        <f>Louisa_wConduits_Input_CSV!B160</f>
        <v>P1105</v>
      </c>
      <c r="B160" t="str">
        <f>_xlfn.XLOOKUP(A160,[1]Conduits_Condition!$A$2:$A$389,[1]Conduits_Condition!$B$2:$B$389)</f>
        <v>CI</v>
      </c>
      <c r="C160">
        <f ca="1">YEAR(TODAY())-_xlfn.XLOOKUP(A160,InstallDate!$B$2:$B$389,InstallDate!$BD$2:$BD$389)</f>
        <v>76</v>
      </c>
      <c r="D160">
        <f>Louisa_wConduits_Input_CSV!R160</f>
        <v>241.28951290000001</v>
      </c>
      <c r="E160">
        <f>Louisa_wConduits_Input_CSV!S160</f>
        <v>6</v>
      </c>
      <c r="F160">
        <f ca="1">_xlfn.XLOOKUP(A160,[1]LEYP_Input!A$2:A$389,[1]LEYP_Input!$C$2:$C$389)</f>
        <v>1</v>
      </c>
      <c r="G160">
        <f>Louisa_wConduits_Input_CSV!AZ160</f>
        <v>3</v>
      </c>
    </row>
    <row r="161" spans="1:7" x14ac:dyDescent="0.2">
      <c r="A161" t="str">
        <f>Louisa_wConduits_Input_CSV!B161</f>
        <v>P1107</v>
      </c>
      <c r="B161" t="str">
        <f>_xlfn.XLOOKUP(A161,[1]Conduits_Condition!$A$2:$A$389,[1]Conduits_Condition!$B$2:$B$389)</f>
        <v>CI</v>
      </c>
      <c r="C161">
        <f ca="1">YEAR(TODAY())-_xlfn.XLOOKUP(A161,InstallDate!$B$2:$B$389,InstallDate!$BD$2:$BD$389)</f>
        <v>76</v>
      </c>
      <c r="D161">
        <f>Louisa_wConduits_Input_CSV!R161</f>
        <v>81.994735759999998</v>
      </c>
      <c r="E161">
        <f>Louisa_wConduits_Input_CSV!S161</f>
        <v>6</v>
      </c>
      <c r="F161">
        <f ca="1">_xlfn.XLOOKUP(A161,[1]LEYP_Input!A$2:A$389,[1]LEYP_Input!$C$2:$C$389)</f>
        <v>1</v>
      </c>
      <c r="G161">
        <f>Louisa_wConduits_Input_CSV!AZ161</f>
        <v>3</v>
      </c>
    </row>
    <row r="162" spans="1:7" x14ac:dyDescent="0.2">
      <c r="A162" t="str">
        <f>Louisa_wConduits_Input_CSV!B162</f>
        <v>P1109</v>
      </c>
      <c r="B162" t="str">
        <f>_xlfn.XLOOKUP(A162,[1]Conduits_Condition!$A$2:$A$389,[1]Conduits_Condition!$B$2:$B$389)</f>
        <v>CI</v>
      </c>
      <c r="C162">
        <f ca="1">YEAR(TODAY())-_xlfn.XLOOKUP(A162,InstallDate!$B$2:$B$389,InstallDate!$BD$2:$BD$389)</f>
        <v>76</v>
      </c>
      <c r="D162">
        <f>Louisa_wConduits_Input_CSV!R162</f>
        <v>28.789905439999998</v>
      </c>
      <c r="E162">
        <f>Louisa_wConduits_Input_CSV!S162</f>
        <v>6</v>
      </c>
      <c r="F162">
        <f ca="1">_xlfn.XLOOKUP(A162,[1]LEYP_Input!A$2:A$389,[1]LEYP_Input!$C$2:$C$389)</f>
        <v>1</v>
      </c>
      <c r="G162">
        <f>Louisa_wConduits_Input_CSV!AZ162</f>
        <v>3</v>
      </c>
    </row>
    <row r="163" spans="1:7" x14ac:dyDescent="0.2">
      <c r="A163" t="str">
        <f>Louisa_wConduits_Input_CSV!B163</f>
        <v>P1111</v>
      </c>
      <c r="B163" t="str">
        <f>_xlfn.XLOOKUP(A163,[1]Conduits_Condition!$A$2:$A$389,[1]Conduits_Condition!$B$2:$B$389)</f>
        <v>PVC</v>
      </c>
      <c r="C163">
        <f ca="1">YEAR(TODAY())-_xlfn.XLOOKUP(A163,InstallDate!$B$2:$B$389,InstallDate!$BD$2:$BD$389)</f>
        <v>46</v>
      </c>
      <c r="D163">
        <f>Louisa_wConduits_Input_CSV!R163</f>
        <v>33.465965250000004</v>
      </c>
      <c r="E163">
        <f>Louisa_wConduits_Input_CSV!S163</f>
        <v>8</v>
      </c>
      <c r="F163">
        <f ca="1">_xlfn.XLOOKUP(A163,[1]LEYP_Input!A$2:A$389,[1]LEYP_Input!$C$2:$C$389)</f>
        <v>1</v>
      </c>
      <c r="G163">
        <f>Louisa_wConduits_Input_CSV!AZ163</f>
        <v>3</v>
      </c>
    </row>
    <row r="164" spans="1:7" x14ac:dyDescent="0.2">
      <c r="A164" t="str">
        <f>Louisa_wConduits_Input_CSV!B164</f>
        <v>P1113</v>
      </c>
      <c r="B164" t="str">
        <f>_xlfn.XLOOKUP(A164,[1]Conduits_Condition!$A$2:$A$389,[1]Conduits_Condition!$B$2:$B$389)</f>
        <v>PVC</v>
      </c>
      <c r="C164">
        <f ca="1">YEAR(TODAY())-_xlfn.XLOOKUP(A164,InstallDate!$B$2:$B$389,InstallDate!$BD$2:$BD$389)</f>
        <v>46</v>
      </c>
      <c r="D164">
        <f>Louisa_wConduits_Input_CSV!R164</f>
        <v>363.65861699999999</v>
      </c>
      <c r="E164">
        <f>Louisa_wConduits_Input_CSV!S164</f>
        <v>8</v>
      </c>
      <c r="F164">
        <f ca="1">_xlfn.XLOOKUP(A164,[1]LEYP_Input!A$2:A$389,[1]LEYP_Input!$C$2:$C$389)</f>
        <v>1</v>
      </c>
      <c r="G164">
        <f>Louisa_wConduits_Input_CSV!AZ164</f>
        <v>3</v>
      </c>
    </row>
    <row r="165" spans="1:7" x14ac:dyDescent="0.2">
      <c r="A165" t="str">
        <f>Louisa_wConduits_Input_CSV!B165</f>
        <v>P1115</v>
      </c>
      <c r="B165" t="str">
        <f>_xlfn.XLOOKUP(A165,[1]Conduits_Condition!$A$2:$A$389,[1]Conduits_Condition!$B$2:$B$389)</f>
        <v>PVC</v>
      </c>
      <c r="C165">
        <f ca="1">YEAR(TODAY())-_xlfn.XLOOKUP(A165,InstallDate!$B$2:$B$389,InstallDate!$BD$2:$BD$389)</f>
        <v>46</v>
      </c>
      <c r="D165">
        <f>Louisa_wConduits_Input_CSV!R165</f>
        <v>606.32443990000002</v>
      </c>
      <c r="E165">
        <f>Louisa_wConduits_Input_CSV!S165</f>
        <v>8</v>
      </c>
      <c r="F165">
        <f ca="1">_xlfn.XLOOKUP(A165,[1]LEYP_Input!A$2:A$389,[1]LEYP_Input!$C$2:$C$389)</f>
        <v>1</v>
      </c>
      <c r="G165">
        <f>Louisa_wConduits_Input_CSV!AZ165</f>
        <v>3</v>
      </c>
    </row>
    <row r="166" spans="1:7" x14ac:dyDescent="0.2">
      <c r="A166" t="str">
        <f>Louisa_wConduits_Input_CSV!B166</f>
        <v>P1117</v>
      </c>
      <c r="B166" t="str">
        <f>_xlfn.XLOOKUP(A166,[1]Conduits_Condition!$A$2:$A$389,[1]Conduits_Condition!$B$2:$B$389)</f>
        <v>PVC</v>
      </c>
      <c r="C166">
        <f ca="1">YEAR(TODAY())-_xlfn.XLOOKUP(A166,InstallDate!$B$2:$B$389,InstallDate!$BD$2:$BD$389)</f>
        <v>46</v>
      </c>
      <c r="D166">
        <f>Louisa_wConduits_Input_CSV!R166</f>
        <v>524.07993160000001</v>
      </c>
      <c r="E166">
        <f>Louisa_wConduits_Input_CSV!S166</f>
        <v>8</v>
      </c>
      <c r="F166">
        <f ca="1">_xlfn.XLOOKUP(A166,[1]LEYP_Input!A$2:A$389,[1]LEYP_Input!$C$2:$C$389)</f>
        <v>1</v>
      </c>
      <c r="G166">
        <f>Louisa_wConduits_Input_CSV!AZ166</f>
        <v>3</v>
      </c>
    </row>
    <row r="167" spans="1:7" x14ac:dyDescent="0.2">
      <c r="A167" t="str">
        <f>Louisa_wConduits_Input_CSV!B167</f>
        <v>P1119</v>
      </c>
      <c r="B167" t="str">
        <f>_xlfn.XLOOKUP(A167,[1]Conduits_Condition!$A$2:$A$389,[1]Conduits_Condition!$B$2:$B$389)</f>
        <v>PVC</v>
      </c>
      <c r="C167">
        <f ca="1">YEAR(TODAY())-_xlfn.XLOOKUP(A167,InstallDate!$B$2:$B$389,InstallDate!$BD$2:$BD$389)</f>
        <v>46</v>
      </c>
      <c r="D167">
        <f>Louisa_wConduits_Input_CSV!R167</f>
        <v>204.64589040000001</v>
      </c>
      <c r="E167">
        <f>Louisa_wConduits_Input_CSV!S167</f>
        <v>8</v>
      </c>
      <c r="F167">
        <f ca="1">_xlfn.XLOOKUP(A167,[1]LEYP_Input!A$2:A$389,[1]LEYP_Input!$C$2:$C$389)</f>
        <v>1</v>
      </c>
      <c r="G167">
        <f>Louisa_wConduits_Input_CSV!AZ167</f>
        <v>3</v>
      </c>
    </row>
    <row r="168" spans="1:7" x14ac:dyDescent="0.2">
      <c r="A168" t="str">
        <f>Louisa_wConduits_Input_CSV!B168</f>
        <v>P1121</v>
      </c>
      <c r="B168" t="str">
        <f>_xlfn.XLOOKUP(A168,[1]Conduits_Condition!$A$2:$A$389,[1]Conduits_Condition!$B$2:$B$389)</f>
        <v>PVC</v>
      </c>
      <c r="C168">
        <f ca="1">YEAR(TODAY())-_xlfn.XLOOKUP(A168,InstallDate!$B$2:$B$389,InstallDate!$BD$2:$BD$389)</f>
        <v>46</v>
      </c>
      <c r="D168">
        <f>Louisa_wConduits_Input_CSV!R168</f>
        <v>730.12972219999995</v>
      </c>
      <c r="E168">
        <f>Louisa_wConduits_Input_CSV!S168</f>
        <v>8</v>
      </c>
      <c r="F168">
        <f ca="1">_xlfn.XLOOKUP(A168,[1]LEYP_Input!A$2:A$389,[1]LEYP_Input!$C$2:$C$389)</f>
        <v>1</v>
      </c>
      <c r="G168">
        <f>Louisa_wConduits_Input_CSV!AZ168</f>
        <v>2</v>
      </c>
    </row>
    <row r="169" spans="1:7" x14ac:dyDescent="0.2">
      <c r="A169" t="str">
        <f>Louisa_wConduits_Input_CSV!B169</f>
        <v>P1123</v>
      </c>
      <c r="B169" t="str">
        <f>_xlfn.XLOOKUP(A169,[1]Conduits_Condition!$A$2:$A$389,[1]Conduits_Condition!$B$2:$B$389)</f>
        <v>PVC</v>
      </c>
      <c r="C169">
        <f ca="1">YEAR(TODAY())-_xlfn.XLOOKUP(A169,InstallDate!$B$2:$B$389,InstallDate!$BD$2:$BD$389)</f>
        <v>46</v>
      </c>
      <c r="D169">
        <f>Louisa_wConduits_Input_CSV!R169</f>
        <v>20.376255780000001</v>
      </c>
      <c r="E169">
        <f>Louisa_wConduits_Input_CSV!S169</f>
        <v>8</v>
      </c>
      <c r="F169">
        <f ca="1">_xlfn.XLOOKUP(A169,[1]LEYP_Input!A$2:A$389,[1]LEYP_Input!$C$2:$C$389)</f>
        <v>1</v>
      </c>
      <c r="G169">
        <f>Louisa_wConduits_Input_CSV!AZ169</f>
        <v>3</v>
      </c>
    </row>
    <row r="170" spans="1:7" x14ac:dyDescent="0.2">
      <c r="A170" t="str">
        <f>Louisa_wConduits_Input_CSV!B170</f>
        <v>P1125</v>
      </c>
      <c r="B170" t="str">
        <f>_xlfn.XLOOKUP(A170,[1]Conduits_Condition!$A$2:$A$389,[1]Conduits_Condition!$B$2:$B$389)</f>
        <v>AC</v>
      </c>
      <c r="C170">
        <f ca="1">YEAR(TODAY())-_xlfn.XLOOKUP(A170,InstallDate!$B$2:$B$389,InstallDate!$BD$2:$BD$389)</f>
        <v>76</v>
      </c>
      <c r="D170">
        <f>Louisa_wConduits_Input_CSV!R170</f>
        <v>26.929184039999999</v>
      </c>
      <c r="E170">
        <f>Louisa_wConduits_Input_CSV!S170</f>
        <v>8</v>
      </c>
      <c r="F170">
        <f ca="1">_xlfn.XLOOKUP(A170,[1]LEYP_Input!A$2:A$389,[1]LEYP_Input!$C$2:$C$389)</f>
        <v>1</v>
      </c>
      <c r="G170">
        <f>Louisa_wConduits_Input_CSV!AZ170</f>
        <v>2</v>
      </c>
    </row>
    <row r="171" spans="1:7" x14ac:dyDescent="0.2">
      <c r="A171" t="str">
        <f>Louisa_wConduits_Input_CSV!B171</f>
        <v>P1127</v>
      </c>
      <c r="B171" t="str">
        <f>_xlfn.XLOOKUP(A171,[1]Conduits_Condition!$A$2:$A$389,[1]Conduits_Condition!$B$2:$B$389)</f>
        <v>AC</v>
      </c>
      <c r="C171">
        <f ca="1">YEAR(TODAY())-_xlfn.XLOOKUP(A171,InstallDate!$B$2:$B$389,InstallDate!$BD$2:$BD$389)</f>
        <v>76</v>
      </c>
      <c r="D171">
        <f>Louisa_wConduits_Input_CSV!R171</f>
        <v>222.11533080000001</v>
      </c>
      <c r="E171">
        <f>Louisa_wConduits_Input_CSV!S171</f>
        <v>8</v>
      </c>
      <c r="F171">
        <f ca="1">_xlfn.XLOOKUP(A171,[1]LEYP_Input!A$2:A$389,[1]LEYP_Input!$C$2:$C$389)</f>
        <v>1</v>
      </c>
      <c r="G171">
        <f>Louisa_wConduits_Input_CSV!AZ171</f>
        <v>2</v>
      </c>
    </row>
    <row r="172" spans="1:7" x14ac:dyDescent="0.2">
      <c r="A172" t="str">
        <f>Louisa_wConduits_Input_CSV!B172</f>
        <v>P1129</v>
      </c>
      <c r="B172" t="str">
        <f>_xlfn.XLOOKUP(A172,[1]Conduits_Condition!$A$2:$A$389,[1]Conduits_Condition!$B$2:$B$389)</f>
        <v>AC</v>
      </c>
      <c r="C172">
        <f ca="1">YEAR(TODAY())-_xlfn.XLOOKUP(A172,InstallDate!$B$2:$B$389,InstallDate!$BD$2:$BD$389)</f>
        <v>96</v>
      </c>
      <c r="D172">
        <f>Louisa_wConduits_Input_CSV!R172</f>
        <v>67.193306089999993</v>
      </c>
      <c r="E172">
        <f>Louisa_wConduits_Input_CSV!S172</f>
        <v>8</v>
      </c>
      <c r="F172">
        <f ca="1">_xlfn.XLOOKUP(A172,[1]LEYP_Input!A$2:A$389,[1]LEYP_Input!$C$2:$C$389)</f>
        <v>1</v>
      </c>
      <c r="G172">
        <f>Louisa_wConduits_Input_CSV!AZ172</f>
        <v>2</v>
      </c>
    </row>
    <row r="173" spans="1:7" x14ac:dyDescent="0.2">
      <c r="A173" t="str">
        <f>Louisa_wConduits_Input_CSV!B173</f>
        <v>P1131</v>
      </c>
      <c r="B173" t="str">
        <f>_xlfn.XLOOKUP(A173,[1]Conduits_Condition!$A$2:$A$389,[1]Conduits_Condition!$B$2:$B$389)</f>
        <v>AC</v>
      </c>
      <c r="C173">
        <f ca="1">YEAR(TODAY())-_xlfn.XLOOKUP(A173,InstallDate!$B$2:$B$389,InstallDate!$BD$2:$BD$389)</f>
        <v>76</v>
      </c>
      <c r="D173">
        <f>Louisa_wConduits_Input_CSV!R173</f>
        <v>1129.798196</v>
      </c>
      <c r="E173">
        <f>Louisa_wConduits_Input_CSV!S173</f>
        <v>8</v>
      </c>
      <c r="F173">
        <f ca="1">_xlfn.XLOOKUP(A173,[1]LEYP_Input!A$2:A$389,[1]LEYP_Input!$C$2:$C$389)</f>
        <v>1</v>
      </c>
      <c r="G173">
        <f>Louisa_wConduits_Input_CSV!AZ173</f>
        <v>3</v>
      </c>
    </row>
    <row r="174" spans="1:7" x14ac:dyDescent="0.2">
      <c r="A174" t="str">
        <f>Louisa_wConduits_Input_CSV!B174</f>
        <v>P1133</v>
      </c>
      <c r="B174" t="str">
        <f>_xlfn.XLOOKUP(A174,[1]Conduits_Condition!$A$2:$A$389,[1]Conduits_Condition!$B$2:$B$389)</f>
        <v>AC</v>
      </c>
      <c r="C174">
        <f ca="1">YEAR(TODAY())-_xlfn.XLOOKUP(A174,InstallDate!$B$2:$B$389,InstallDate!$BD$2:$BD$389)</f>
        <v>76</v>
      </c>
      <c r="D174">
        <f>Louisa_wConduits_Input_CSV!R174</f>
        <v>395.68442270000003</v>
      </c>
      <c r="E174">
        <f>Louisa_wConduits_Input_CSV!S174</f>
        <v>8</v>
      </c>
      <c r="F174">
        <f ca="1">_xlfn.XLOOKUP(A174,[1]LEYP_Input!A$2:A$389,[1]LEYP_Input!$C$2:$C$389)</f>
        <v>1</v>
      </c>
      <c r="G174">
        <f>Louisa_wConduits_Input_CSV!AZ174</f>
        <v>3</v>
      </c>
    </row>
    <row r="175" spans="1:7" x14ac:dyDescent="0.2">
      <c r="A175" t="str">
        <f>Louisa_wConduits_Input_CSV!B175</f>
        <v>P1135</v>
      </c>
      <c r="B175" t="str">
        <f>_xlfn.XLOOKUP(A175,[1]Conduits_Condition!$A$2:$A$389,[1]Conduits_Condition!$B$2:$B$389)</f>
        <v>AC</v>
      </c>
      <c r="C175">
        <f ca="1">YEAR(TODAY())-_xlfn.XLOOKUP(A175,InstallDate!$B$2:$B$389,InstallDate!$BD$2:$BD$389)</f>
        <v>76</v>
      </c>
      <c r="D175">
        <f>Louisa_wConduits_Input_CSV!R175</f>
        <v>71.960081020000004</v>
      </c>
      <c r="E175">
        <f>Louisa_wConduits_Input_CSV!S175</f>
        <v>8</v>
      </c>
      <c r="F175">
        <f ca="1">_xlfn.XLOOKUP(A175,[1]LEYP_Input!A$2:A$389,[1]LEYP_Input!$C$2:$C$389)</f>
        <v>1</v>
      </c>
      <c r="G175">
        <f>Louisa_wConduits_Input_CSV!AZ175</f>
        <v>3</v>
      </c>
    </row>
    <row r="176" spans="1:7" x14ac:dyDescent="0.2">
      <c r="A176" t="str">
        <f>Louisa_wConduits_Input_CSV!B176</f>
        <v>P1137</v>
      </c>
      <c r="B176" t="str">
        <f>_xlfn.XLOOKUP(A176,[1]Conduits_Condition!$A$2:$A$389,[1]Conduits_Condition!$B$2:$B$389)</f>
        <v>CI</v>
      </c>
      <c r="C176">
        <f ca="1">YEAR(TODAY())-_xlfn.XLOOKUP(A176,InstallDate!$B$2:$B$389,InstallDate!$BD$2:$BD$389)</f>
        <v>96</v>
      </c>
      <c r="D176">
        <f>Louisa_wConduits_Input_CSV!R176</f>
        <v>27.698200379999999</v>
      </c>
      <c r="E176">
        <f>Louisa_wConduits_Input_CSV!S176</f>
        <v>6</v>
      </c>
      <c r="F176">
        <f ca="1">_xlfn.XLOOKUP(A176,[1]LEYP_Input!A$2:A$389,[1]LEYP_Input!$C$2:$C$389)</f>
        <v>1</v>
      </c>
      <c r="G176">
        <f>Louisa_wConduits_Input_CSV!AZ176</f>
        <v>2</v>
      </c>
    </row>
    <row r="177" spans="1:7" x14ac:dyDescent="0.2">
      <c r="A177" t="str">
        <f>Louisa_wConduits_Input_CSV!B177</f>
        <v>P1139</v>
      </c>
      <c r="B177" t="str">
        <f>_xlfn.XLOOKUP(A177,[1]Conduits_Condition!$A$2:$A$389,[1]Conduits_Condition!$B$2:$B$389)</f>
        <v>CI</v>
      </c>
      <c r="C177">
        <f ca="1">YEAR(TODAY())-_xlfn.XLOOKUP(A177,InstallDate!$B$2:$B$389,InstallDate!$BD$2:$BD$389)</f>
        <v>96</v>
      </c>
      <c r="D177">
        <f>Louisa_wConduits_Input_CSV!R177</f>
        <v>254.925162</v>
      </c>
      <c r="E177">
        <f>Louisa_wConduits_Input_CSV!S177</f>
        <v>6</v>
      </c>
      <c r="F177">
        <f ca="1">_xlfn.XLOOKUP(A177,[1]LEYP_Input!A$2:A$389,[1]LEYP_Input!$C$2:$C$389)</f>
        <v>1</v>
      </c>
      <c r="G177">
        <f>Louisa_wConduits_Input_CSV!AZ177</f>
        <v>2</v>
      </c>
    </row>
    <row r="178" spans="1:7" x14ac:dyDescent="0.2">
      <c r="A178" t="str">
        <f>Louisa_wConduits_Input_CSV!B178</f>
        <v>P1141</v>
      </c>
      <c r="B178" t="str">
        <f>_xlfn.XLOOKUP(A178,[1]Conduits_Condition!$A$2:$A$389,[1]Conduits_Condition!$B$2:$B$389)</f>
        <v>CI</v>
      </c>
      <c r="C178">
        <f ca="1">YEAR(TODAY())-_xlfn.XLOOKUP(A178,InstallDate!$B$2:$B$389,InstallDate!$BD$2:$BD$389)</f>
        <v>96</v>
      </c>
      <c r="D178">
        <f>Louisa_wConduits_Input_CSV!R178</f>
        <v>43.570652240000001</v>
      </c>
      <c r="E178">
        <f>Louisa_wConduits_Input_CSV!S178</f>
        <v>6</v>
      </c>
      <c r="F178">
        <f ca="1">_xlfn.XLOOKUP(A178,[1]LEYP_Input!A$2:A$389,[1]LEYP_Input!$C$2:$C$389)</f>
        <v>1</v>
      </c>
      <c r="G178">
        <f>Louisa_wConduits_Input_CSV!AZ178</f>
        <v>2</v>
      </c>
    </row>
    <row r="179" spans="1:7" x14ac:dyDescent="0.2">
      <c r="A179" t="str">
        <f>Louisa_wConduits_Input_CSV!B179</f>
        <v>P1143</v>
      </c>
      <c r="B179" t="str">
        <f>_xlfn.XLOOKUP(A179,[1]Conduits_Condition!$A$2:$A$389,[1]Conduits_Condition!$B$2:$B$389)</f>
        <v>CI</v>
      </c>
      <c r="C179">
        <f ca="1">YEAR(TODAY())-_xlfn.XLOOKUP(A179,InstallDate!$B$2:$B$389,InstallDate!$BD$2:$BD$389)</f>
        <v>96</v>
      </c>
      <c r="D179">
        <f>Louisa_wConduits_Input_CSV!R179</f>
        <v>18.737498259999999</v>
      </c>
      <c r="E179">
        <f>Louisa_wConduits_Input_CSV!S179</f>
        <v>6</v>
      </c>
      <c r="F179">
        <f ca="1">_xlfn.XLOOKUP(A179,[1]LEYP_Input!A$2:A$389,[1]LEYP_Input!$C$2:$C$389)</f>
        <v>1</v>
      </c>
      <c r="G179">
        <f>Louisa_wConduits_Input_CSV!AZ179</f>
        <v>2</v>
      </c>
    </row>
    <row r="180" spans="1:7" x14ac:dyDescent="0.2">
      <c r="A180" t="str">
        <f>Louisa_wConduits_Input_CSV!B180</f>
        <v>P1145</v>
      </c>
      <c r="B180" t="str">
        <f>_xlfn.XLOOKUP(A180,[1]Conduits_Condition!$A$2:$A$389,[1]Conduits_Condition!$B$2:$B$389)</f>
        <v>CI</v>
      </c>
      <c r="C180">
        <f ca="1">YEAR(TODAY())-_xlfn.XLOOKUP(A180,InstallDate!$B$2:$B$389,InstallDate!$BD$2:$BD$389)</f>
        <v>76</v>
      </c>
      <c r="D180">
        <f>Louisa_wConduits_Input_CSV!R180</f>
        <v>697.2017257</v>
      </c>
      <c r="E180">
        <f>Louisa_wConduits_Input_CSV!S180</f>
        <v>6</v>
      </c>
      <c r="F180">
        <f ca="1">_xlfn.XLOOKUP(A180,[1]LEYP_Input!A$2:A$389,[1]LEYP_Input!$C$2:$C$389)</f>
        <v>1</v>
      </c>
      <c r="G180">
        <f>Louisa_wConduits_Input_CSV!AZ180</f>
        <v>2</v>
      </c>
    </row>
    <row r="181" spans="1:7" x14ac:dyDescent="0.2">
      <c r="A181" t="str">
        <f>Louisa_wConduits_Input_CSV!B181</f>
        <v>P1147</v>
      </c>
      <c r="B181" t="str">
        <f>_xlfn.XLOOKUP(A181,[1]Conduits_Condition!$A$2:$A$389,[1]Conduits_Condition!$B$2:$B$389)</f>
        <v>AC</v>
      </c>
      <c r="C181">
        <f ca="1">YEAR(TODAY())-_xlfn.XLOOKUP(A181,InstallDate!$B$2:$B$389,InstallDate!$BD$2:$BD$389)</f>
        <v>76</v>
      </c>
      <c r="D181">
        <f>Louisa_wConduits_Input_CSV!R181</f>
        <v>26.887138230000001</v>
      </c>
      <c r="E181">
        <f>Louisa_wConduits_Input_CSV!S181</f>
        <v>6</v>
      </c>
      <c r="F181">
        <f ca="1">_xlfn.XLOOKUP(A181,[1]LEYP_Input!A$2:A$389,[1]LEYP_Input!$C$2:$C$389)</f>
        <v>1</v>
      </c>
      <c r="G181">
        <f>Louisa_wConduits_Input_CSV!AZ181</f>
        <v>2</v>
      </c>
    </row>
    <row r="182" spans="1:7" x14ac:dyDescent="0.2">
      <c r="A182" t="str">
        <f>Louisa_wConduits_Input_CSV!B182</f>
        <v>P1149</v>
      </c>
      <c r="B182" t="str">
        <f>_xlfn.XLOOKUP(A182,[1]Conduits_Condition!$A$2:$A$389,[1]Conduits_Condition!$B$2:$B$389)</f>
        <v>AC</v>
      </c>
      <c r="C182">
        <f ca="1">YEAR(TODAY())-_xlfn.XLOOKUP(A182,InstallDate!$B$2:$B$389,InstallDate!$BD$2:$BD$389)</f>
        <v>96</v>
      </c>
      <c r="D182">
        <f>Louisa_wConduits_Input_CSV!R182</f>
        <v>487.31477740000003</v>
      </c>
      <c r="E182">
        <f>Louisa_wConduits_Input_CSV!S182</f>
        <v>6</v>
      </c>
      <c r="F182">
        <f ca="1">_xlfn.XLOOKUP(A182,[1]LEYP_Input!A$2:A$389,[1]LEYP_Input!$C$2:$C$389)</f>
        <v>1</v>
      </c>
      <c r="G182">
        <f>Louisa_wConduits_Input_CSV!AZ182</f>
        <v>2</v>
      </c>
    </row>
    <row r="183" spans="1:7" x14ac:dyDescent="0.2">
      <c r="A183" t="str">
        <f>Louisa_wConduits_Input_CSV!B183</f>
        <v>P1151</v>
      </c>
      <c r="B183" t="str">
        <f>_xlfn.XLOOKUP(A183,[1]Conduits_Condition!$A$2:$A$389,[1]Conduits_Condition!$B$2:$B$389)</f>
        <v>AC</v>
      </c>
      <c r="C183">
        <f ca="1">YEAR(TODAY())-_xlfn.XLOOKUP(A183,InstallDate!$B$2:$B$389,InstallDate!$BD$2:$BD$389)</f>
        <v>76</v>
      </c>
      <c r="D183">
        <f>Louisa_wConduits_Input_CSV!R183</f>
        <v>240.26538619999999</v>
      </c>
      <c r="E183">
        <f>Louisa_wConduits_Input_CSV!S183</f>
        <v>6</v>
      </c>
      <c r="F183">
        <f ca="1">_xlfn.XLOOKUP(A183,[1]LEYP_Input!A$2:A$389,[1]LEYP_Input!$C$2:$C$389)</f>
        <v>1</v>
      </c>
      <c r="G183">
        <f>Louisa_wConduits_Input_CSV!AZ183</f>
        <v>2</v>
      </c>
    </row>
    <row r="184" spans="1:7" x14ac:dyDescent="0.2">
      <c r="A184" t="str">
        <f>Louisa_wConduits_Input_CSV!B184</f>
        <v>P1153</v>
      </c>
      <c r="B184" t="str">
        <f>_xlfn.XLOOKUP(A184,[1]Conduits_Condition!$A$2:$A$389,[1]Conduits_Condition!$B$2:$B$389)</f>
        <v>AC</v>
      </c>
      <c r="C184">
        <f ca="1">YEAR(TODAY())-_xlfn.XLOOKUP(A184,InstallDate!$B$2:$B$389,InstallDate!$BD$2:$BD$389)</f>
        <v>76</v>
      </c>
      <c r="D184">
        <f>Louisa_wConduits_Input_CSV!R184</f>
        <v>33.82124993</v>
      </c>
      <c r="E184">
        <f>Louisa_wConduits_Input_CSV!S184</f>
        <v>6</v>
      </c>
      <c r="F184">
        <f ca="1">_xlfn.XLOOKUP(A184,[1]LEYP_Input!A$2:A$389,[1]LEYP_Input!$C$2:$C$389)</f>
        <v>1</v>
      </c>
      <c r="G184">
        <f>Louisa_wConduits_Input_CSV!AZ184</f>
        <v>2</v>
      </c>
    </row>
    <row r="185" spans="1:7" x14ac:dyDescent="0.2">
      <c r="A185" t="str">
        <f>Louisa_wConduits_Input_CSV!B185</f>
        <v>P1155</v>
      </c>
      <c r="B185" t="str">
        <f>_xlfn.XLOOKUP(A185,[1]Conduits_Condition!$A$2:$A$389,[1]Conduits_Condition!$B$2:$B$389)</f>
        <v>AC</v>
      </c>
      <c r="C185">
        <f ca="1">YEAR(TODAY())-_xlfn.XLOOKUP(A185,InstallDate!$B$2:$B$389,InstallDate!$BD$2:$BD$389)</f>
        <v>96</v>
      </c>
      <c r="D185">
        <f>Louisa_wConduits_Input_CSV!R185</f>
        <v>631.04468129999998</v>
      </c>
      <c r="E185">
        <f>Louisa_wConduits_Input_CSV!S185</f>
        <v>6</v>
      </c>
      <c r="F185">
        <f ca="1">_xlfn.XLOOKUP(A185,[1]LEYP_Input!A$2:A$389,[1]LEYP_Input!$C$2:$C$389)</f>
        <v>1</v>
      </c>
      <c r="G185">
        <f>Louisa_wConduits_Input_CSV!AZ185</f>
        <v>2</v>
      </c>
    </row>
    <row r="186" spans="1:7" x14ac:dyDescent="0.2">
      <c r="A186" t="str">
        <f>Louisa_wConduits_Input_CSV!B186</f>
        <v>P1157</v>
      </c>
      <c r="B186" t="str">
        <f>_xlfn.XLOOKUP(A186,[1]Conduits_Condition!$A$2:$A$389,[1]Conduits_Condition!$B$2:$B$389)</f>
        <v>AC</v>
      </c>
      <c r="C186">
        <f ca="1">YEAR(TODAY())-_xlfn.XLOOKUP(A186,InstallDate!$B$2:$B$389,InstallDate!$BD$2:$BD$389)</f>
        <v>76</v>
      </c>
      <c r="D186">
        <f>Louisa_wConduits_Input_CSV!R186</f>
        <v>206.97605100000001</v>
      </c>
      <c r="E186">
        <f>Louisa_wConduits_Input_CSV!S186</f>
        <v>6</v>
      </c>
      <c r="F186">
        <f ca="1">_xlfn.XLOOKUP(A186,[1]LEYP_Input!A$2:A$389,[1]LEYP_Input!$C$2:$C$389)</f>
        <v>1</v>
      </c>
      <c r="G186">
        <f>Louisa_wConduits_Input_CSV!AZ186</f>
        <v>2</v>
      </c>
    </row>
    <row r="187" spans="1:7" x14ac:dyDescent="0.2">
      <c r="A187" t="str">
        <f>Louisa_wConduits_Input_CSV!B187</f>
        <v>P1159</v>
      </c>
      <c r="B187" t="str">
        <f>_xlfn.XLOOKUP(A187,[1]Conduits_Condition!$A$2:$A$389,[1]Conduits_Condition!$B$2:$B$389)</f>
        <v>AC</v>
      </c>
      <c r="C187">
        <f ca="1">YEAR(TODAY())-_xlfn.XLOOKUP(A187,InstallDate!$B$2:$B$389,InstallDate!$BD$2:$BD$389)</f>
        <v>76</v>
      </c>
      <c r="D187">
        <f>Louisa_wConduits_Input_CSV!R187</f>
        <v>30.946920769999998</v>
      </c>
      <c r="E187">
        <f>Louisa_wConduits_Input_CSV!S187</f>
        <v>6</v>
      </c>
      <c r="F187">
        <f ca="1">_xlfn.XLOOKUP(A187,[1]LEYP_Input!A$2:A$389,[1]LEYP_Input!$C$2:$C$389)</f>
        <v>1</v>
      </c>
      <c r="G187">
        <f>Louisa_wConduits_Input_CSV!AZ187</f>
        <v>2</v>
      </c>
    </row>
    <row r="188" spans="1:7" x14ac:dyDescent="0.2">
      <c r="A188" t="str">
        <f>Louisa_wConduits_Input_CSV!B188</f>
        <v>P1161</v>
      </c>
      <c r="B188" t="str">
        <f>_xlfn.XLOOKUP(A188,[1]Conduits_Condition!$A$2:$A$389,[1]Conduits_Condition!$B$2:$B$389)</f>
        <v>GI</v>
      </c>
      <c r="C188">
        <f ca="1">YEAR(TODAY())-_xlfn.XLOOKUP(A188,InstallDate!$B$2:$B$389,InstallDate!$BD$2:$BD$389)</f>
        <v>76</v>
      </c>
      <c r="D188">
        <f>Louisa_wConduits_Input_CSV!R188</f>
        <v>185.69477169999999</v>
      </c>
      <c r="E188">
        <f>Louisa_wConduits_Input_CSV!S188</f>
        <v>1.5</v>
      </c>
      <c r="F188">
        <f ca="1">_xlfn.XLOOKUP(A188,[1]LEYP_Input!A$2:A$389,[1]LEYP_Input!$C$2:$C$389)</f>
        <v>1</v>
      </c>
      <c r="G188">
        <f>Louisa_wConduits_Input_CSV!AZ188</f>
        <v>1</v>
      </c>
    </row>
    <row r="189" spans="1:7" x14ac:dyDescent="0.2">
      <c r="A189" t="str">
        <f>Louisa_wConduits_Input_CSV!B189</f>
        <v>P1163</v>
      </c>
      <c r="B189" t="str">
        <f>_xlfn.XLOOKUP(A189,[1]Conduits_Condition!$A$2:$A$389,[1]Conduits_Condition!$B$2:$B$389)</f>
        <v>AC</v>
      </c>
      <c r="C189">
        <f ca="1">YEAR(TODAY())-_xlfn.XLOOKUP(A189,InstallDate!$B$2:$B$389,InstallDate!$BD$2:$BD$389)</f>
        <v>76</v>
      </c>
      <c r="D189">
        <f>Louisa_wConduits_Input_CSV!R189</f>
        <v>32.363050569999999</v>
      </c>
      <c r="E189">
        <f>Louisa_wConduits_Input_CSV!S189</f>
        <v>6</v>
      </c>
      <c r="F189">
        <f ca="1">_xlfn.XLOOKUP(A189,[1]LEYP_Input!A$2:A$389,[1]LEYP_Input!$C$2:$C$389)</f>
        <v>1</v>
      </c>
      <c r="G189">
        <f>Louisa_wConduits_Input_CSV!AZ189</f>
        <v>2</v>
      </c>
    </row>
    <row r="190" spans="1:7" x14ac:dyDescent="0.2">
      <c r="A190" t="str">
        <f>Louisa_wConduits_Input_CSV!B190</f>
        <v>P1165</v>
      </c>
      <c r="B190" t="str">
        <f>_xlfn.XLOOKUP(A190,[1]Conduits_Condition!$A$2:$A$389,[1]Conduits_Condition!$B$2:$B$389)</f>
        <v>AC</v>
      </c>
      <c r="C190">
        <f ca="1">YEAR(TODAY())-_xlfn.XLOOKUP(A190,InstallDate!$B$2:$B$389,InstallDate!$BD$2:$BD$389)</f>
        <v>96</v>
      </c>
      <c r="D190">
        <f>Louisa_wConduits_Input_CSV!R190</f>
        <v>553.53727690000005</v>
      </c>
      <c r="E190">
        <f>Louisa_wConduits_Input_CSV!S190</f>
        <v>6</v>
      </c>
      <c r="F190">
        <f ca="1">_xlfn.XLOOKUP(A190,[1]LEYP_Input!A$2:A$389,[1]LEYP_Input!$C$2:$C$389)</f>
        <v>1</v>
      </c>
      <c r="G190">
        <f>Louisa_wConduits_Input_CSV!AZ190</f>
        <v>2</v>
      </c>
    </row>
    <row r="191" spans="1:7" x14ac:dyDescent="0.2">
      <c r="A191" t="str">
        <f>Louisa_wConduits_Input_CSV!B191</f>
        <v>P1167</v>
      </c>
      <c r="B191" t="str">
        <f>_xlfn.XLOOKUP(A191,[1]Conduits_Condition!$A$2:$A$389,[1]Conduits_Condition!$B$2:$B$389)</f>
        <v>AC</v>
      </c>
      <c r="C191">
        <f ca="1">YEAR(TODAY())-_xlfn.XLOOKUP(A191,InstallDate!$B$2:$B$389,InstallDate!$BD$2:$BD$389)</f>
        <v>96</v>
      </c>
      <c r="D191">
        <f>Louisa_wConduits_Input_CSV!R191</f>
        <v>69.78464434</v>
      </c>
      <c r="E191">
        <f>Louisa_wConduits_Input_CSV!S191</f>
        <v>6</v>
      </c>
      <c r="F191">
        <f ca="1">_xlfn.XLOOKUP(A191,[1]LEYP_Input!A$2:A$389,[1]LEYP_Input!$C$2:$C$389)</f>
        <v>1</v>
      </c>
      <c r="G191">
        <f>Louisa_wConduits_Input_CSV!AZ191</f>
        <v>2</v>
      </c>
    </row>
    <row r="192" spans="1:7" x14ac:dyDescent="0.2">
      <c r="A192" t="str">
        <f>Louisa_wConduits_Input_CSV!B192</f>
        <v>P1169</v>
      </c>
      <c r="B192" t="str">
        <f>_xlfn.XLOOKUP(A192,[1]Conduits_Condition!$A$2:$A$389,[1]Conduits_Condition!$B$2:$B$389)</f>
        <v>AC</v>
      </c>
      <c r="C192">
        <f ca="1">YEAR(TODAY())-_xlfn.XLOOKUP(A192,InstallDate!$B$2:$B$389,InstallDate!$BD$2:$BD$389)</f>
        <v>76</v>
      </c>
      <c r="D192">
        <f>Louisa_wConduits_Input_CSV!R192</f>
        <v>32.055585280000003</v>
      </c>
      <c r="E192">
        <f>Louisa_wConduits_Input_CSV!S192</f>
        <v>6</v>
      </c>
      <c r="F192">
        <f ca="1">_xlfn.XLOOKUP(A192,[1]LEYP_Input!A$2:A$389,[1]LEYP_Input!$C$2:$C$389)</f>
        <v>1</v>
      </c>
      <c r="G192">
        <f>Louisa_wConduits_Input_CSV!AZ192</f>
        <v>2</v>
      </c>
    </row>
    <row r="193" spans="1:7" x14ac:dyDescent="0.2">
      <c r="A193" t="str">
        <f>Louisa_wConduits_Input_CSV!B193</f>
        <v>P1171</v>
      </c>
      <c r="B193" t="str">
        <f>_xlfn.XLOOKUP(A193,[1]Conduits_Condition!$A$2:$A$389,[1]Conduits_Condition!$B$2:$B$389)</f>
        <v>AC</v>
      </c>
      <c r="C193">
        <f ca="1">YEAR(TODAY())-_xlfn.XLOOKUP(A193,InstallDate!$B$2:$B$389,InstallDate!$BD$2:$BD$389)</f>
        <v>76</v>
      </c>
      <c r="D193">
        <f>Louisa_wConduits_Input_CSV!R193</f>
        <v>669.50700489999997</v>
      </c>
      <c r="E193">
        <f>Louisa_wConduits_Input_CSV!S193</f>
        <v>6</v>
      </c>
      <c r="F193">
        <f ca="1">_xlfn.XLOOKUP(A193,[1]LEYP_Input!A$2:A$389,[1]LEYP_Input!$C$2:$C$389)</f>
        <v>1</v>
      </c>
      <c r="G193">
        <f>Louisa_wConduits_Input_CSV!AZ193</f>
        <v>2</v>
      </c>
    </row>
    <row r="194" spans="1:7" x14ac:dyDescent="0.2">
      <c r="A194" t="str">
        <f>Louisa_wConduits_Input_CSV!B194</f>
        <v>P1173</v>
      </c>
      <c r="B194" t="str">
        <f>_xlfn.XLOOKUP(A194,[1]Conduits_Condition!$A$2:$A$389,[1]Conduits_Condition!$B$2:$B$389)</f>
        <v>AC</v>
      </c>
      <c r="C194">
        <f ca="1">YEAR(TODAY())-_xlfn.XLOOKUP(A194,InstallDate!$B$2:$B$389,InstallDate!$BD$2:$BD$389)</f>
        <v>46</v>
      </c>
      <c r="D194">
        <f>Louisa_wConduits_Input_CSV!R194</f>
        <v>81.938800029999996</v>
      </c>
      <c r="E194">
        <f>Louisa_wConduits_Input_CSV!S194</f>
        <v>10</v>
      </c>
      <c r="F194">
        <f ca="1">_xlfn.XLOOKUP(A194,[1]LEYP_Input!A$2:A$389,[1]LEYP_Input!$C$2:$C$389)</f>
        <v>1</v>
      </c>
      <c r="G194">
        <f>Louisa_wConduits_Input_CSV!AZ194</f>
        <v>3</v>
      </c>
    </row>
    <row r="195" spans="1:7" x14ac:dyDescent="0.2">
      <c r="A195" t="str">
        <f>Louisa_wConduits_Input_CSV!B195</f>
        <v>P1175</v>
      </c>
      <c r="B195" t="str">
        <f>_xlfn.XLOOKUP(A195,[1]Conduits_Condition!$A$2:$A$389,[1]Conduits_Condition!$B$2:$B$389)</f>
        <v>AC</v>
      </c>
      <c r="C195">
        <f ca="1">YEAR(TODAY())-_xlfn.XLOOKUP(A195,InstallDate!$B$2:$B$389,InstallDate!$BD$2:$BD$389)</f>
        <v>76</v>
      </c>
      <c r="D195">
        <f>Louisa_wConduits_Input_CSV!R195</f>
        <v>96.202028220000003</v>
      </c>
      <c r="E195">
        <f>Louisa_wConduits_Input_CSV!S195</f>
        <v>10</v>
      </c>
      <c r="F195">
        <f ca="1">_xlfn.XLOOKUP(A195,[1]LEYP_Input!A$2:A$389,[1]LEYP_Input!$C$2:$C$389)</f>
        <v>1</v>
      </c>
      <c r="G195">
        <f>Louisa_wConduits_Input_CSV!AZ195</f>
        <v>3</v>
      </c>
    </row>
    <row r="196" spans="1:7" x14ac:dyDescent="0.2">
      <c r="A196" t="str">
        <f>Louisa_wConduits_Input_CSV!B196</f>
        <v>P1177</v>
      </c>
      <c r="B196" t="str">
        <f>_xlfn.XLOOKUP(A196,[1]Conduits_Condition!$A$2:$A$389,[1]Conduits_Condition!$B$2:$B$389)</f>
        <v>AC</v>
      </c>
      <c r="C196">
        <f ca="1">YEAR(TODAY())-_xlfn.XLOOKUP(A196,InstallDate!$B$2:$B$389,InstallDate!$BD$2:$BD$389)</f>
        <v>46</v>
      </c>
      <c r="D196">
        <f>Louisa_wConduits_Input_CSV!R196</f>
        <v>301.48719069999999</v>
      </c>
      <c r="E196">
        <f>Louisa_wConduits_Input_CSV!S196</f>
        <v>10</v>
      </c>
      <c r="F196">
        <f ca="1">_xlfn.XLOOKUP(A196,[1]LEYP_Input!A$2:A$389,[1]LEYP_Input!$C$2:$C$389)</f>
        <v>1</v>
      </c>
      <c r="G196">
        <f>Louisa_wConduits_Input_CSV!AZ196</f>
        <v>2</v>
      </c>
    </row>
    <row r="197" spans="1:7" x14ac:dyDescent="0.2">
      <c r="A197" t="str">
        <f>Louisa_wConduits_Input_CSV!B197</f>
        <v>P1179</v>
      </c>
      <c r="B197" t="str">
        <f>_xlfn.XLOOKUP(A197,[1]Conduits_Condition!$A$2:$A$389,[1]Conduits_Condition!$B$2:$B$389)</f>
        <v>AC</v>
      </c>
      <c r="C197">
        <f ca="1">YEAR(TODAY())-_xlfn.XLOOKUP(A197,InstallDate!$B$2:$B$389,InstallDate!$BD$2:$BD$389)</f>
        <v>76</v>
      </c>
      <c r="D197">
        <f>Louisa_wConduits_Input_CSV!R197</f>
        <v>792.2364642</v>
      </c>
      <c r="E197">
        <f>Louisa_wConduits_Input_CSV!S197</f>
        <v>10</v>
      </c>
      <c r="F197">
        <f ca="1">_xlfn.XLOOKUP(A197,[1]LEYP_Input!A$2:A$389,[1]LEYP_Input!$C$2:$C$389)</f>
        <v>1</v>
      </c>
      <c r="G197">
        <f>Louisa_wConduits_Input_CSV!AZ197</f>
        <v>3</v>
      </c>
    </row>
    <row r="198" spans="1:7" x14ac:dyDescent="0.2">
      <c r="A198" t="str">
        <f>Louisa_wConduits_Input_CSV!B198</f>
        <v>P1181</v>
      </c>
      <c r="B198" t="str">
        <f>_xlfn.XLOOKUP(A198,[1]Conduits_Condition!$A$2:$A$389,[1]Conduits_Condition!$B$2:$B$389)</f>
        <v>AC</v>
      </c>
      <c r="C198">
        <f ca="1">YEAR(TODAY())-_xlfn.XLOOKUP(A198,InstallDate!$B$2:$B$389,InstallDate!$BD$2:$BD$389)</f>
        <v>76</v>
      </c>
      <c r="D198">
        <f>Louisa_wConduits_Input_CSV!R198</f>
        <v>31.188356590000001</v>
      </c>
      <c r="E198">
        <f>Louisa_wConduits_Input_CSV!S198</f>
        <v>10</v>
      </c>
      <c r="F198">
        <f ca="1">_xlfn.XLOOKUP(A198,[1]LEYP_Input!A$2:A$389,[1]LEYP_Input!$C$2:$C$389)</f>
        <v>1</v>
      </c>
      <c r="G198">
        <f>Louisa_wConduits_Input_CSV!AZ198</f>
        <v>3</v>
      </c>
    </row>
    <row r="199" spans="1:7" x14ac:dyDescent="0.2">
      <c r="A199" t="str">
        <f>Louisa_wConduits_Input_CSV!B199</f>
        <v>P1183</v>
      </c>
      <c r="B199" t="str">
        <f>_xlfn.XLOOKUP(A199,[1]Conduits_Condition!$A$2:$A$389,[1]Conduits_Condition!$B$2:$B$389)</f>
        <v>AC</v>
      </c>
      <c r="C199">
        <f ca="1">YEAR(TODAY())-_xlfn.XLOOKUP(A199,InstallDate!$B$2:$B$389,InstallDate!$BD$2:$BD$389)</f>
        <v>76</v>
      </c>
      <c r="D199">
        <f>Louisa_wConduits_Input_CSV!R199</f>
        <v>551.1132222</v>
      </c>
      <c r="E199">
        <f>Louisa_wConduits_Input_CSV!S199</f>
        <v>10</v>
      </c>
      <c r="F199">
        <f ca="1">_xlfn.XLOOKUP(A199,[1]LEYP_Input!A$2:A$389,[1]LEYP_Input!$C$2:$C$389)</f>
        <v>1</v>
      </c>
      <c r="G199">
        <f>Louisa_wConduits_Input_CSV!AZ199</f>
        <v>3</v>
      </c>
    </row>
    <row r="200" spans="1:7" x14ac:dyDescent="0.2">
      <c r="A200" t="str">
        <f>Louisa_wConduits_Input_CSV!B200</f>
        <v>P1185</v>
      </c>
      <c r="B200" t="str">
        <f>_xlfn.XLOOKUP(A200,[1]Conduits_Condition!$A$2:$A$389,[1]Conduits_Condition!$B$2:$B$389)</f>
        <v>AC</v>
      </c>
      <c r="C200">
        <f ca="1">YEAR(TODAY())-_xlfn.XLOOKUP(A200,InstallDate!$B$2:$B$389,InstallDate!$BD$2:$BD$389)</f>
        <v>76</v>
      </c>
      <c r="D200">
        <f>Louisa_wConduits_Input_CSV!R200</f>
        <v>25.961845010000001</v>
      </c>
      <c r="E200">
        <f>Louisa_wConduits_Input_CSV!S200</f>
        <v>10</v>
      </c>
      <c r="F200">
        <f ca="1">_xlfn.XLOOKUP(A200,[1]LEYP_Input!A$2:A$389,[1]LEYP_Input!$C$2:$C$389)</f>
        <v>1</v>
      </c>
      <c r="G200">
        <f>Louisa_wConduits_Input_CSV!AZ200</f>
        <v>3</v>
      </c>
    </row>
    <row r="201" spans="1:7" x14ac:dyDescent="0.2">
      <c r="A201" t="str">
        <f>Louisa_wConduits_Input_CSV!B201</f>
        <v>P1187</v>
      </c>
      <c r="B201" t="str">
        <f>_xlfn.XLOOKUP(A201,[1]Conduits_Condition!$A$2:$A$389,[1]Conduits_Condition!$B$2:$B$389)</f>
        <v>AC</v>
      </c>
      <c r="C201">
        <f ca="1">YEAR(TODAY())-_xlfn.XLOOKUP(A201,InstallDate!$B$2:$B$389,InstallDate!$BD$2:$BD$389)</f>
        <v>76</v>
      </c>
      <c r="D201">
        <f>Louisa_wConduits_Input_CSV!R201</f>
        <v>697.54764639999996</v>
      </c>
      <c r="E201">
        <f>Louisa_wConduits_Input_CSV!S201</f>
        <v>10</v>
      </c>
      <c r="F201">
        <f ca="1">_xlfn.XLOOKUP(A201,[1]LEYP_Input!A$2:A$389,[1]LEYP_Input!$C$2:$C$389)</f>
        <v>1</v>
      </c>
      <c r="G201">
        <f>Louisa_wConduits_Input_CSV!AZ201</f>
        <v>3</v>
      </c>
    </row>
    <row r="202" spans="1:7" x14ac:dyDescent="0.2">
      <c r="A202" t="str">
        <f>Louisa_wConduits_Input_CSV!B202</f>
        <v>P1189</v>
      </c>
      <c r="B202" t="str">
        <f>_xlfn.XLOOKUP(A202,[1]Conduits_Condition!$A$2:$A$389,[1]Conduits_Condition!$B$2:$B$389)</f>
        <v>AC</v>
      </c>
      <c r="C202">
        <f ca="1">YEAR(TODAY())-_xlfn.XLOOKUP(A202,InstallDate!$B$2:$B$389,InstallDate!$BD$2:$BD$389)</f>
        <v>76</v>
      </c>
      <c r="D202">
        <f>Louisa_wConduits_Input_CSV!R202</f>
        <v>1110.021747</v>
      </c>
      <c r="E202">
        <f>Louisa_wConduits_Input_CSV!S202</f>
        <v>10</v>
      </c>
      <c r="F202">
        <f ca="1">_xlfn.XLOOKUP(A202,[1]LEYP_Input!A$2:A$389,[1]LEYP_Input!$C$2:$C$389)</f>
        <v>1</v>
      </c>
      <c r="G202">
        <f>Louisa_wConduits_Input_CSV!AZ202</f>
        <v>2</v>
      </c>
    </row>
    <row r="203" spans="1:7" x14ac:dyDescent="0.2">
      <c r="A203" t="str">
        <f>Louisa_wConduits_Input_CSV!B203</f>
        <v>P1191</v>
      </c>
      <c r="B203" t="str">
        <f>_xlfn.XLOOKUP(A203,[1]Conduits_Condition!$A$2:$A$389,[1]Conduits_Condition!$B$2:$B$389)</f>
        <v>AC</v>
      </c>
      <c r="C203">
        <f ca="1">YEAR(TODAY())-_xlfn.XLOOKUP(A203,InstallDate!$B$2:$B$389,InstallDate!$BD$2:$BD$389)</f>
        <v>46</v>
      </c>
      <c r="D203">
        <f>Louisa_wConduits_Input_CSV!R203</f>
        <v>285.35923969999999</v>
      </c>
      <c r="E203">
        <f>Louisa_wConduits_Input_CSV!S203</f>
        <v>10</v>
      </c>
      <c r="F203">
        <f ca="1">_xlfn.XLOOKUP(A203,[1]LEYP_Input!A$2:A$389,[1]LEYP_Input!$C$2:$C$389)</f>
        <v>1</v>
      </c>
      <c r="G203">
        <f>Louisa_wConduits_Input_CSV!AZ203</f>
        <v>2</v>
      </c>
    </row>
    <row r="204" spans="1:7" x14ac:dyDescent="0.2">
      <c r="A204" t="str">
        <f>Louisa_wConduits_Input_CSV!B204</f>
        <v>P1193</v>
      </c>
      <c r="B204" t="str">
        <f>_xlfn.XLOOKUP(A204,[1]Conduits_Condition!$A$2:$A$389,[1]Conduits_Condition!$B$2:$B$389)</f>
        <v>AC</v>
      </c>
      <c r="C204">
        <f ca="1">YEAR(TODAY())-_xlfn.XLOOKUP(A204,InstallDate!$B$2:$B$389,InstallDate!$BD$2:$BD$389)</f>
        <v>76</v>
      </c>
      <c r="D204">
        <f>Louisa_wConduits_Input_CSV!R204</f>
        <v>401.92788839999997</v>
      </c>
      <c r="E204">
        <f>Louisa_wConduits_Input_CSV!S204</f>
        <v>10</v>
      </c>
      <c r="F204">
        <f ca="1">_xlfn.XLOOKUP(A204,[1]LEYP_Input!A$2:A$389,[1]LEYP_Input!$C$2:$C$389)</f>
        <v>1</v>
      </c>
      <c r="G204">
        <f>Louisa_wConduits_Input_CSV!AZ204</f>
        <v>2</v>
      </c>
    </row>
    <row r="205" spans="1:7" x14ac:dyDescent="0.2">
      <c r="A205" t="str">
        <f>Louisa_wConduits_Input_CSV!B205</f>
        <v>P1195</v>
      </c>
      <c r="B205" t="str">
        <f>_xlfn.XLOOKUP(A205,[1]Conduits_Condition!$A$2:$A$389,[1]Conduits_Condition!$B$2:$B$389)</f>
        <v>AC</v>
      </c>
      <c r="C205">
        <f ca="1">YEAR(TODAY())-_xlfn.XLOOKUP(A205,InstallDate!$B$2:$B$389,InstallDate!$BD$2:$BD$389)</f>
        <v>76</v>
      </c>
      <c r="D205">
        <f>Louisa_wConduits_Input_CSV!R205</f>
        <v>30.560740450000001</v>
      </c>
      <c r="E205">
        <f>Louisa_wConduits_Input_CSV!S205</f>
        <v>8</v>
      </c>
      <c r="F205">
        <f ca="1">_xlfn.XLOOKUP(A205,[1]LEYP_Input!A$2:A$389,[1]LEYP_Input!$C$2:$C$389)</f>
        <v>1</v>
      </c>
      <c r="G205">
        <f>Louisa_wConduits_Input_CSV!AZ205</f>
        <v>3</v>
      </c>
    </row>
    <row r="206" spans="1:7" x14ac:dyDescent="0.2">
      <c r="A206" t="str">
        <f>Louisa_wConduits_Input_CSV!B206</f>
        <v>P1197</v>
      </c>
      <c r="B206" t="str">
        <f>_xlfn.XLOOKUP(A206,[1]Conduits_Condition!$A$2:$A$389,[1]Conduits_Condition!$B$2:$B$389)</f>
        <v>AC</v>
      </c>
      <c r="C206">
        <f ca="1">YEAR(TODAY())-_xlfn.XLOOKUP(A206,InstallDate!$B$2:$B$389,InstallDate!$BD$2:$BD$389)</f>
        <v>76</v>
      </c>
      <c r="D206">
        <f>Louisa_wConduits_Input_CSV!R206</f>
        <v>320.27901609999998</v>
      </c>
      <c r="E206">
        <f>Louisa_wConduits_Input_CSV!S206</f>
        <v>8</v>
      </c>
      <c r="F206">
        <f ca="1">_xlfn.XLOOKUP(A206,[1]LEYP_Input!A$2:A$389,[1]LEYP_Input!$C$2:$C$389)</f>
        <v>1</v>
      </c>
      <c r="G206">
        <f>Louisa_wConduits_Input_CSV!AZ206</f>
        <v>3</v>
      </c>
    </row>
    <row r="207" spans="1:7" x14ac:dyDescent="0.2">
      <c r="A207" t="str">
        <f>Louisa_wConduits_Input_CSV!B207</f>
        <v>P1199</v>
      </c>
      <c r="B207" t="str">
        <f>_xlfn.XLOOKUP(A207,[1]Conduits_Condition!$A$2:$A$389,[1]Conduits_Condition!$B$2:$B$389)</f>
        <v>AC</v>
      </c>
      <c r="C207">
        <f ca="1">YEAR(TODAY())-_xlfn.XLOOKUP(A207,InstallDate!$B$2:$B$389,InstallDate!$BD$2:$BD$389)</f>
        <v>46</v>
      </c>
      <c r="D207">
        <f>Louisa_wConduits_Input_CSV!R207</f>
        <v>875.94240449999995</v>
      </c>
      <c r="E207">
        <f>Louisa_wConduits_Input_CSV!S207</f>
        <v>8</v>
      </c>
      <c r="F207">
        <f ca="1">_xlfn.XLOOKUP(A207,[1]LEYP_Input!A$2:A$389,[1]LEYP_Input!$C$2:$C$389)</f>
        <v>1</v>
      </c>
      <c r="G207">
        <f>Louisa_wConduits_Input_CSV!AZ207</f>
        <v>2</v>
      </c>
    </row>
    <row r="208" spans="1:7" x14ac:dyDescent="0.2">
      <c r="A208" t="str">
        <f>Louisa_wConduits_Input_CSV!B208</f>
        <v>P1201</v>
      </c>
      <c r="B208" t="str">
        <f>_xlfn.XLOOKUP(A208,[1]Conduits_Condition!$A$2:$A$389,[1]Conduits_Condition!$B$2:$B$389)</f>
        <v>AC</v>
      </c>
      <c r="C208">
        <f ca="1">YEAR(TODAY())-_xlfn.XLOOKUP(A208,InstallDate!$B$2:$B$389,InstallDate!$BD$2:$BD$389)</f>
        <v>76</v>
      </c>
      <c r="D208">
        <f>Louisa_wConduits_Input_CSV!R208</f>
        <v>599.27374970000005</v>
      </c>
      <c r="E208">
        <f>Louisa_wConduits_Input_CSV!S208</f>
        <v>8</v>
      </c>
      <c r="F208">
        <f ca="1">_xlfn.XLOOKUP(A208,[1]LEYP_Input!A$2:A$389,[1]LEYP_Input!$C$2:$C$389)</f>
        <v>1</v>
      </c>
      <c r="G208">
        <f>Louisa_wConduits_Input_CSV!AZ208</f>
        <v>3</v>
      </c>
    </row>
    <row r="209" spans="1:7" x14ac:dyDescent="0.2">
      <c r="A209" t="str">
        <f>Louisa_wConduits_Input_CSV!B209</f>
        <v>P1203</v>
      </c>
      <c r="B209" t="str">
        <f>_xlfn.XLOOKUP(A209,[1]Conduits_Condition!$A$2:$A$389,[1]Conduits_Condition!$B$2:$B$389)</f>
        <v>AC</v>
      </c>
      <c r="C209">
        <f ca="1">YEAR(TODAY())-_xlfn.XLOOKUP(A209,InstallDate!$B$2:$B$389,InstallDate!$BD$2:$BD$389)</f>
        <v>46</v>
      </c>
      <c r="D209">
        <f>Louisa_wConduits_Input_CSV!R209</f>
        <v>616.78315769999995</v>
      </c>
      <c r="E209">
        <f>Louisa_wConduits_Input_CSV!S209</f>
        <v>8</v>
      </c>
      <c r="F209">
        <f ca="1">_xlfn.XLOOKUP(A209,[1]LEYP_Input!A$2:A$389,[1]LEYP_Input!$C$2:$C$389)</f>
        <v>1</v>
      </c>
      <c r="G209">
        <f>Louisa_wConduits_Input_CSV!AZ209</f>
        <v>2</v>
      </c>
    </row>
    <row r="210" spans="1:7" x14ac:dyDescent="0.2">
      <c r="A210" t="str">
        <f>Louisa_wConduits_Input_CSV!B210</f>
        <v>P1205</v>
      </c>
      <c r="B210" t="str">
        <f>_xlfn.XLOOKUP(A210,[1]Conduits_Condition!$A$2:$A$389,[1]Conduits_Condition!$B$2:$B$389)</f>
        <v>AC</v>
      </c>
      <c r="C210">
        <f ca="1">YEAR(TODAY())-_xlfn.XLOOKUP(A210,InstallDate!$B$2:$B$389,InstallDate!$BD$2:$BD$389)</f>
        <v>76</v>
      </c>
      <c r="D210">
        <f>Louisa_wConduits_Input_CSV!R210</f>
        <v>33.535813070000003</v>
      </c>
      <c r="E210">
        <f>Louisa_wConduits_Input_CSV!S210</f>
        <v>6</v>
      </c>
      <c r="F210">
        <f ca="1">_xlfn.XLOOKUP(A210,[1]LEYP_Input!A$2:A$389,[1]LEYP_Input!$C$2:$C$389)</f>
        <v>1</v>
      </c>
      <c r="G210">
        <f>Louisa_wConduits_Input_CSV!AZ210</f>
        <v>1</v>
      </c>
    </row>
    <row r="211" spans="1:7" x14ac:dyDescent="0.2">
      <c r="A211" t="str">
        <f>Louisa_wConduits_Input_CSV!B211</f>
        <v>P1207</v>
      </c>
      <c r="B211" t="str">
        <f>_xlfn.XLOOKUP(A211,[1]Conduits_Condition!$A$2:$A$389,[1]Conduits_Condition!$B$2:$B$389)</f>
        <v>AC</v>
      </c>
      <c r="C211">
        <f ca="1">YEAR(TODAY())-_xlfn.XLOOKUP(A211,InstallDate!$B$2:$B$389,InstallDate!$BD$2:$BD$389)</f>
        <v>76</v>
      </c>
      <c r="D211">
        <f>Louisa_wConduits_Input_CSV!R211</f>
        <v>94.34963424</v>
      </c>
      <c r="E211">
        <f>Louisa_wConduits_Input_CSV!S211</f>
        <v>6</v>
      </c>
      <c r="F211">
        <f ca="1">_xlfn.XLOOKUP(A211,[1]LEYP_Input!A$2:A$389,[1]LEYP_Input!$C$2:$C$389)</f>
        <v>1</v>
      </c>
      <c r="G211">
        <f>Louisa_wConduits_Input_CSV!AZ211</f>
        <v>1</v>
      </c>
    </row>
    <row r="212" spans="1:7" x14ac:dyDescent="0.2">
      <c r="A212" t="str">
        <f>Louisa_wConduits_Input_CSV!B212</f>
        <v>P1209</v>
      </c>
      <c r="B212" t="str">
        <f>_xlfn.XLOOKUP(A212,[1]Conduits_Condition!$A$2:$A$389,[1]Conduits_Condition!$B$2:$B$389)</f>
        <v>AC</v>
      </c>
      <c r="C212">
        <f ca="1">YEAR(TODAY())-_xlfn.XLOOKUP(A212,InstallDate!$B$2:$B$389,InstallDate!$BD$2:$BD$389)</f>
        <v>76</v>
      </c>
      <c r="D212">
        <f>Louisa_wConduits_Input_CSV!R212</f>
        <v>324.69508869999999</v>
      </c>
      <c r="E212">
        <f>Louisa_wConduits_Input_CSV!S212</f>
        <v>6</v>
      </c>
      <c r="F212">
        <f ca="1">_xlfn.XLOOKUP(A212,[1]LEYP_Input!A$2:A$389,[1]LEYP_Input!$C$2:$C$389)</f>
        <v>1</v>
      </c>
      <c r="G212">
        <f>Louisa_wConduits_Input_CSV!AZ212</f>
        <v>1</v>
      </c>
    </row>
    <row r="213" spans="1:7" x14ac:dyDescent="0.2">
      <c r="A213" t="str">
        <f>Louisa_wConduits_Input_CSV!B213</f>
        <v>P1211</v>
      </c>
      <c r="B213" t="str">
        <f>_xlfn.XLOOKUP(A213,[1]Conduits_Condition!$A$2:$A$389,[1]Conduits_Condition!$B$2:$B$389)</f>
        <v>AC</v>
      </c>
      <c r="C213">
        <f ca="1">YEAR(TODAY())-_xlfn.XLOOKUP(A213,InstallDate!$B$2:$B$389,InstallDate!$BD$2:$BD$389)</f>
        <v>76</v>
      </c>
      <c r="D213">
        <f>Louisa_wConduits_Input_CSV!R213</f>
        <v>285.7766742</v>
      </c>
      <c r="E213">
        <f>Louisa_wConduits_Input_CSV!S213</f>
        <v>6</v>
      </c>
      <c r="F213">
        <f ca="1">_xlfn.XLOOKUP(A213,[1]LEYP_Input!A$2:A$389,[1]LEYP_Input!$C$2:$C$389)</f>
        <v>1</v>
      </c>
      <c r="G213">
        <f>Louisa_wConduits_Input_CSV!AZ213</f>
        <v>2</v>
      </c>
    </row>
    <row r="214" spans="1:7" x14ac:dyDescent="0.2">
      <c r="A214" t="str">
        <f>Louisa_wConduits_Input_CSV!B214</f>
        <v>P1213</v>
      </c>
      <c r="B214" t="str">
        <f>_xlfn.XLOOKUP(A214,[1]Conduits_Condition!$A$2:$A$389,[1]Conduits_Condition!$B$2:$B$389)</f>
        <v>AC</v>
      </c>
      <c r="C214">
        <f ca="1">YEAR(TODAY())-_xlfn.XLOOKUP(A214,InstallDate!$B$2:$B$389,InstallDate!$BD$2:$BD$389)</f>
        <v>96</v>
      </c>
      <c r="D214">
        <f>Louisa_wConduits_Input_CSV!R214</f>
        <v>73.097704399999998</v>
      </c>
      <c r="E214">
        <f>Louisa_wConduits_Input_CSV!S214</f>
        <v>6</v>
      </c>
      <c r="F214">
        <f ca="1">_xlfn.XLOOKUP(A214,[1]LEYP_Input!A$2:A$389,[1]LEYP_Input!$C$2:$C$389)</f>
        <v>1</v>
      </c>
      <c r="G214">
        <f>Louisa_wConduits_Input_CSV!AZ214</f>
        <v>1</v>
      </c>
    </row>
    <row r="215" spans="1:7" x14ac:dyDescent="0.2">
      <c r="A215" t="str">
        <f>Louisa_wConduits_Input_CSV!B215</f>
        <v>P1215</v>
      </c>
      <c r="B215" t="str">
        <f>_xlfn.XLOOKUP(A215,[1]Conduits_Condition!$A$2:$A$389,[1]Conduits_Condition!$B$2:$B$389)</f>
        <v>AC</v>
      </c>
      <c r="C215">
        <f ca="1">YEAR(TODAY())-_xlfn.XLOOKUP(A215,InstallDate!$B$2:$B$389,InstallDate!$BD$2:$BD$389)</f>
        <v>76</v>
      </c>
      <c r="D215">
        <f>Louisa_wConduits_Input_CSV!R215</f>
        <v>45.420186080000001</v>
      </c>
      <c r="E215">
        <f>Louisa_wConduits_Input_CSV!S215</f>
        <v>2</v>
      </c>
      <c r="F215">
        <f ca="1">_xlfn.XLOOKUP(A215,[1]LEYP_Input!A$2:A$389,[1]LEYP_Input!$C$2:$C$389)</f>
        <v>1</v>
      </c>
      <c r="G215">
        <f>Louisa_wConduits_Input_CSV!AZ215</f>
        <v>1</v>
      </c>
    </row>
    <row r="216" spans="1:7" x14ac:dyDescent="0.2">
      <c r="A216" t="str">
        <f>Louisa_wConduits_Input_CSV!B216</f>
        <v>P1217</v>
      </c>
      <c r="B216" t="str">
        <f>_xlfn.XLOOKUP(A216,[1]Conduits_Condition!$A$2:$A$389,[1]Conduits_Condition!$B$2:$B$389)</f>
        <v>AC</v>
      </c>
      <c r="C216">
        <f ca="1">YEAR(TODAY())-_xlfn.XLOOKUP(A216,InstallDate!$B$2:$B$389,InstallDate!$BD$2:$BD$389)</f>
        <v>76</v>
      </c>
      <c r="D216">
        <f>Louisa_wConduits_Input_CSV!R216</f>
        <v>43.31717166</v>
      </c>
      <c r="E216">
        <f>Louisa_wConduits_Input_CSV!S216</f>
        <v>6</v>
      </c>
      <c r="F216">
        <f ca="1">_xlfn.XLOOKUP(A216,[1]LEYP_Input!A$2:A$389,[1]LEYP_Input!$C$2:$C$389)</f>
        <v>1</v>
      </c>
      <c r="G216">
        <f>Louisa_wConduits_Input_CSV!AZ216</f>
        <v>2</v>
      </c>
    </row>
    <row r="217" spans="1:7" x14ac:dyDescent="0.2">
      <c r="A217" t="str">
        <f>Louisa_wConduits_Input_CSV!B217</f>
        <v>P1219</v>
      </c>
      <c r="B217" t="str">
        <f>_xlfn.XLOOKUP(A217,[1]Conduits_Condition!$A$2:$A$389,[1]Conduits_Condition!$B$2:$B$389)</f>
        <v>AC</v>
      </c>
      <c r="C217">
        <f ca="1">YEAR(TODAY())-_xlfn.XLOOKUP(A217,InstallDate!$B$2:$B$389,InstallDate!$BD$2:$BD$389)</f>
        <v>76</v>
      </c>
      <c r="D217">
        <f>Louisa_wConduits_Input_CSV!R217</f>
        <v>304.45778230000002</v>
      </c>
      <c r="E217">
        <f>Louisa_wConduits_Input_CSV!S217</f>
        <v>6</v>
      </c>
      <c r="F217">
        <f ca="1">_xlfn.XLOOKUP(A217,[1]LEYP_Input!A$2:A$389,[1]LEYP_Input!$C$2:$C$389)</f>
        <v>1</v>
      </c>
      <c r="G217">
        <f>Louisa_wConduits_Input_CSV!AZ217</f>
        <v>2</v>
      </c>
    </row>
    <row r="218" spans="1:7" x14ac:dyDescent="0.2">
      <c r="A218" t="str">
        <f>Louisa_wConduits_Input_CSV!B218</f>
        <v>P1221</v>
      </c>
      <c r="B218" t="str">
        <f>_xlfn.XLOOKUP(A218,[1]Conduits_Condition!$A$2:$A$389,[1]Conduits_Condition!$B$2:$B$389)</f>
        <v>AC</v>
      </c>
      <c r="C218">
        <f ca="1">YEAR(TODAY())-_xlfn.XLOOKUP(A218,InstallDate!$B$2:$B$389,InstallDate!$BD$2:$BD$389)</f>
        <v>76</v>
      </c>
      <c r="D218">
        <f>Louisa_wConduits_Input_CSV!R218</f>
        <v>230.95738420000001</v>
      </c>
      <c r="E218">
        <f>Louisa_wConduits_Input_CSV!S218</f>
        <v>8</v>
      </c>
      <c r="F218">
        <f ca="1">_xlfn.XLOOKUP(A218,[1]LEYP_Input!A$2:A$389,[1]LEYP_Input!$C$2:$C$389)</f>
        <v>1</v>
      </c>
      <c r="G218">
        <f>Louisa_wConduits_Input_CSV!AZ218</f>
        <v>2</v>
      </c>
    </row>
    <row r="219" spans="1:7" x14ac:dyDescent="0.2">
      <c r="A219" t="str">
        <f>Louisa_wConduits_Input_CSV!B219</f>
        <v>P1223</v>
      </c>
      <c r="B219" t="str">
        <f>_xlfn.XLOOKUP(A219,[1]Conduits_Condition!$A$2:$A$389,[1]Conduits_Condition!$B$2:$B$389)</f>
        <v>AC</v>
      </c>
      <c r="C219">
        <f ca="1">YEAR(TODAY())-_xlfn.XLOOKUP(A219,InstallDate!$B$2:$B$389,InstallDate!$BD$2:$BD$389)</f>
        <v>76</v>
      </c>
      <c r="D219">
        <f>Louisa_wConduits_Input_CSV!R219</f>
        <v>549.34847079999997</v>
      </c>
      <c r="E219">
        <f>Louisa_wConduits_Input_CSV!S219</f>
        <v>8</v>
      </c>
      <c r="F219">
        <f ca="1">_xlfn.XLOOKUP(A219,[1]LEYP_Input!A$2:A$389,[1]LEYP_Input!$C$2:$C$389)</f>
        <v>1</v>
      </c>
      <c r="G219">
        <f>Louisa_wConduits_Input_CSV!AZ219</f>
        <v>2</v>
      </c>
    </row>
    <row r="220" spans="1:7" x14ac:dyDescent="0.2">
      <c r="A220" t="str">
        <f>Louisa_wConduits_Input_CSV!B220</f>
        <v>P1225</v>
      </c>
      <c r="B220" t="str">
        <f>_xlfn.XLOOKUP(A220,[1]Conduits_Condition!$A$2:$A$389,[1]Conduits_Condition!$B$2:$B$389)</f>
        <v>AC</v>
      </c>
      <c r="C220">
        <f ca="1">YEAR(TODAY())-_xlfn.XLOOKUP(A220,InstallDate!$B$2:$B$389,InstallDate!$BD$2:$BD$389)</f>
        <v>76</v>
      </c>
      <c r="D220">
        <f>Louisa_wConduits_Input_CSV!R220</f>
        <v>234.29801040000001</v>
      </c>
      <c r="E220">
        <f>Louisa_wConduits_Input_CSV!S220</f>
        <v>8</v>
      </c>
      <c r="F220">
        <f ca="1">_xlfn.XLOOKUP(A220,[1]LEYP_Input!A$2:A$389,[1]LEYP_Input!$C$2:$C$389)</f>
        <v>1</v>
      </c>
      <c r="G220">
        <f>Louisa_wConduits_Input_CSV!AZ220</f>
        <v>2</v>
      </c>
    </row>
    <row r="221" spans="1:7" x14ac:dyDescent="0.2">
      <c r="A221" t="str">
        <f>Louisa_wConduits_Input_CSV!B221</f>
        <v>P1227</v>
      </c>
      <c r="B221" t="str">
        <f>_xlfn.XLOOKUP(A221,[1]Conduits_Condition!$A$2:$A$389,[1]Conduits_Condition!$B$2:$B$389)</f>
        <v>AC</v>
      </c>
      <c r="C221">
        <f ca="1">YEAR(TODAY())-_xlfn.XLOOKUP(A221,InstallDate!$B$2:$B$389,InstallDate!$BD$2:$BD$389)</f>
        <v>76</v>
      </c>
      <c r="D221">
        <f>Louisa_wConduits_Input_CSV!R221</f>
        <v>28.828413650000002</v>
      </c>
      <c r="E221">
        <f>Louisa_wConduits_Input_CSV!S221</f>
        <v>8</v>
      </c>
      <c r="F221">
        <f ca="1">_xlfn.XLOOKUP(A221,[1]LEYP_Input!A$2:A$389,[1]LEYP_Input!$C$2:$C$389)</f>
        <v>1</v>
      </c>
      <c r="G221">
        <f>Louisa_wConduits_Input_CSV!AZ221</f>
        <v>2</v>
      </c>
    </row>
    <row r="222" spans="1:7" x14ac:dyDescent="0.2">
      <c r="A222" t="str">
        <f>Louisa_wConduits_Input_CSV!B222</f>
        <v>P1229</v>
      </c>
      <c r="B222" t="str">
        <f>_xlfn.XLOOKUP(A222,[1]Conduits_Condition!$A$2:$A$389,[1]Conduits_Condition!$B$2:$B$389)</f>
        <v>AC</v>
      </c>
      <c r="C222">
        <f ca="1">YEAR(TODAY())-_xlfn.XLOOKUP(A222,InstallDate!$B$2:$B$389,InstallDate!$BD$2:$BD$389)</f>
        <v>76</v>
      </c>
      <c r="D222">
        <f>Louisa_wConduits_Input_CSV!R222</f>
        <v>35.652243810000002</v>
      </c>
      <c r="E222">
        <f>Louisa_wConduits_Input_CSV!S222</f>
        <v>6</v>
      </c>
      <c r="F222">
        <f ca="1">_xlfn.XLOOKUP(A222,[1]LEYP_Input!A$2:A$389,[1]LEYP_Input!$C$2:$C$389)</f>
        <v>1</v>
      </c>
      <c r="G222">
        <f>Louisa_wConduits_Input_CSV!AZ222</f>
        <v>1</v>
      </c>
    </row>
    <row r="223" spans="1:7" x14ac:dyDescent="0.2">
      <c r="A223" t="str">
        <f>Louisa_wConduits_Input_CSV!B223</f>
        <v>P1231</v>
      </c>
      <c r="B223" t="str">
        <f>_xlfn.XLOOKUP(A223,[1]Conduits_Condition!$A$2:$A$389,[1]Conduits_Condition!$B$2:$B$389)</f>
        <v>AC</v>
      </c>
      <c r="C223">
        <f ca="1">YEAR(TODAY())-_xlfn.XLOOKUP(A223,InstallDate!$B$2:$B$389,InstallDate!$BD$2:$BD$389)</f>
        <v>76</v>
      </c>
      <c r="D223">
        <f>Louisa_wConduits_Input_CSV!R223</f>
        <v>800.79734840000003</v>
      </c>
      <c r="E223">
        <f>Louisa_wConduits_Input_CSV!S223</f>
        <v>6</v>
      </c>
      <c r="F223">
        <f ca="1">_xlfn.XLOOKUP(A223,[1]LEYP_Input!A$2:A$389,[1]LEYP_Input!$C$2:$C$389)</f>
        <v>1</v>
      </c>
      <c r="G223">
        <f>Louisa_wConduits_Input_CSV!AZ223</f>
        <v>1</v>
      </c>
    </row>
    <row r="224" spans="1:7" x14ac:dyDescent="0.2">
      <c r="A224" t="str">
        <f>Louisa_wConduits_Input_CSV!B224</f>
        <v>P1233</v>
      </c>
      <c r="B224" t="str">
        <f>_xlfn.XLOOKUP(A224,[1]Conduits_Condition!$A$2:$A$389,[1]Conduits_Condition!$B$2:$B$389)</f>
        <v>AC</v>
      </c>
      <c r="C224">
        <f ca="1">YEAR(TODAY())-_xlfn.XLOOKUP(A224,InstallDate!$B$2:$B$389,InstallDate!$BD$2:$BD$389)</f>
        <v>96</v>
      </c>
      <c r="D224">
        <f>Louisa_wConduits_Input_CSV!R224</f>
        <v>21.720769740000001</v>
      </c>
      <c r="E224">
        <f>Louisa_wConduits_Input_CSV!S224</f>
        <v>6</v>
      </c>
      <c r="F224">
        <f ca="1">_xlfn.XLOOKUP(A224,[1]LEYP_Input!A$2:A$389,[1]LEYP_Input!$C$2:$C$389)</f>
        <v>1</v>
      </c>
      <c r="G224">
        <f>Louisa_wConduits_Input_CSV!AZ224</f>
        <v>3</v>
      </c>
    </row>
    <row r="225" spans="1:7" x14ac:dyDescent="0.2">
      <c r="A225" t="str">
        <f>Louisa_wConduits_Input_CSV!B225</f>
        <v>P1235</v>
      </c>
      <c r="B225" t="str">
        <f>_xlfn.XLOOKUP(A225,[1]Conduits_Condition!$A$2:$A$389,[1]Conduits_Condition!$B$2:$B$389)</f>
        <v>AC</v>
      </c>
      <c r="C225">
        <f ca="1">YEAR(TODAY())-_xlfn.XLOOKUP(A225,InstallDate!$B$2:$B$389,InstallDate!$BD$2:$BD$389)</f>
        <v>96</v>
      </c>
      <c r="D225">
        <f>Louisa_wConduits_Input_CSV!R225</f>
        <v>351.30003369999997</v>
      </c>
      <c r="E225">
        <f>Louisa_wConduits_Input_CSV!S225</f>
        <v>6</v>
      </c>
      <c r="F225">
        <f ca="1">_xlfn.XLOOKUP(A225,[1]LEYP_Input!A$2:A$389,[1]LEYP_Input!$C$2:$C$389)</f>
        <v>1</v>
      </c>
      <c r="G225">
        <f>Louisa_wConduits_Input_CSV!AZ225</f>
        <v>2</v>
      </c>
    </row>
    <row r="226" spans="1:7" x14ac:dyDescent="0.2">
      <c r="A226" t="str">
        <f>Louisa_wConduits_Input_CSV!B226</f>
        <v>P1237</v>
      </c>
      <c r="B226" t="str">
        <f>_xlfn.XLOOKUP(A226,[1]Conduits_Condition!$A$2:$A$389,[1]Conduits_Condition!$B$2:$B$389)</f>
        <v>AC</v>
      </c>
      <c r="C226">
        <f ca="1">YEAR(TODAY())-_xlfn.XLOOKUP(A226,InstallDate!$B$2:$B$389,InstallDate!$BD$2:$BD$389)</f>
        <v>76</v>
      </c>
      <c r="D226">
        <f>Louisa_wConduits_Input_CSV!R226</f>
        <v>140.23393709999999</v>
      </c>
      <c r="E226">
        <f>Louisa_wConduits_Input_CSV!S226</f>
        <v>6</v>
      </c>
      <c r="F226">
        <f ca="1">_xlfn.XLOOKUP(A226,[1]LEYP_Input!A$2:A$389,[1]LEYP_Input!$C$2:$C$389)</f>
        <v>1</v>
      </c>
      <c r="G226">
        <f>Louisa_wConduits_Input_CSV!AZ226</f>
        <v>3</v>
      </c>
    </row>
    <row r="227" spans="1:7" x14ac:dyDescent="0.2">
      <c r="A227" t="str">
        <f>Louisa_wConduits_Input_CSV!B227</f>
        <v>P1239</v>
      </c>
      <c r="B227" t="str">
        <f>_xlfn.XLOOKUP(A227,[1]Conduits_Condition!$A$2:$A$389,[1]Conduits_Condition!$B$2:$B$389)</f>
        <v>AC</v>
      </c>
      <c r="C227">
        <f ca="1">YEAR(TODAY())-_xlfn.XLOOKUP(A227,InstallDate!$B$2:$B$389,InstallDate!$BD$2:$BD$389)</f>
        <v>76</v>
      </c>
      <c r="D227">
        <f>Louisa_wConduits_Input_CSV!R227</f>
        <v>268.68095959999999</v>
      </c>
      <c r="E227">
        <f>Louisa_wConduits_Input_CSV!S227</f>
        <v>6</v>
      </c>
      <c r="F227">
        <f ca="1">_xlfn.XLOOKUP(A227,[1]LEYP_Input!A$2:A$389,[1]LEYP_Input!$C$2:$C$389)</f>
        <v>1</v>
      </c>
      <c r="G227">
        <f>Louisa_wConduits_Input_CSV!AZ227</f>
        <v>3</v>
      </c>
    </row>
    <row r="228" spans="1:7" x14ac:dyDescent="0.2">
      <c r="A228" t="str">
        <f>Louisa_wConduits_Input_CSV!B228</f>
        <v>P1241</v>
      </c>
      <c r="B228" t="str">
        <f>_xlfn.XLOOKUP(A228,[1]Conduits_Condition!$A$2:$A$389,[1]Conduits_Condition!$B$2:$B$389)</f>
        <v>AC</v>
      </c>
      <c r="C228">
        <f ca="1">YEAR(TODAY())-_xlfn.XLOOKUP(A228,InstallDate!$B$2:$B$389,InstallDate!$BD$2:$BD$389)</f>
        <v>76</v>
      </c>
      <c r="D228">
        <f>Louisa_wConduits_Input_CSV!R228</f>
        <v>328.90214170000002</v>
      </c>
      <c r="E228">
        <f>Louisa_wConduits_Input_CSV!S228</f>
        <v>6</v>
      </c>
      <c r="F228">
        <f ca="1">_xlfn.XLOOKUP(A228,[1]LEYP_Input!A$2:A$389,[1]LEYP_Input!$C$2:$C$389)</f>
        <v>1</v>
      </c>
      <c r="G228">
        <f>Louisa_wConduits_Input_CSV!AZ228</f>
        <v>2</v>
      </c>
    </row>
    <row r="229" spans="1:7" x14ac:dyDescent="0.2">
      <c r="A229" t="str">
        <f>Louisa_wConduits_Input_CSV!B229</f>
        <v>P1243</v>
      </c>
      <c r="B229" t="str">
        <f>_xlfn.XLOOKUP(A229,[1]Conduits_Condition!$A$2:$A$389,[1]Conduits_Condition!$B$2:$B$389)</f>
        <v>AC</v>
      </c>
      <c r="C229">
        <f ca="1">YEAR(TODAY())-_xlfn.XLOOKUP(A229,InstallDate!$B$2:$B$389,InstallDate!$BD$2:$BD$389)</f>
        <v>76</v>
      </c>
      <c r="D229">
        <f>Louisa_wConduits_Input_CSV!R229</f>
        <v>111.16826500000001</v>
      </c>
      <c r="E229">
        <f>Louisa_wConduits_Input_CSV!S229</f>
        <v>6</v>
      </c>
      <c r="F229">
        <f ca="1">_xlfn.XLOOKUP(A229,[1]LEYP_Input!A$2:A$389,[1]LEYP_Input!$C$2:$C$389)</f>
        <v>1</v>
      </c>
      <c r="G229">
        <f>Louisa_wConduits_Input_CSV!AZ229</f>
        <v>2</v>
      </c>
    </row>
    <row r="230" spans="1:7" x14ac:dyDescent="0.2">
      <c r="A230" t="str">
        <f>Louisa_wConduits_Input_CSV!B230</f>
        <v>P1245</v>
      </c>
      <c r="B230" t="str">
        <f>_xlfn.XLOOKUP(A230,[1]Conduits_Condition!$A$2:$A$389,[1]Conduits_Condition!$B$2:$B$389)</f>
        <v>AC</v>
      </c>
      <c r="C230">
        <f ca="1">YEAR(TODAY())-_xlfn.XLOOKUP(A230,InstallDate!$B$2:$B$389,InstallDate!$BD$2:$BD$389)</f>
        <v>76</v>
      </c>
      <c r="D230">
        <f>Louisa_wConduits_Input_CSV!R230</f>
        <v>261.77757880000001</v>
      </c>
      <c r="E230">
        <f>Louisa_wConduits_Input_CSV!S230</f>
        <v>6</v>
      </c>
      <c r="F230">
        <f ca="1">_xlfn.XLOOKUP(A230,[1]LEYP_Input!A$2:A$389,[1]LEYP_Input!$C$2:$C$389)</f>
        <v>1</v>
      </c>
      <c r="G230">
        <f>Louisa_wConduits_Input_CSV!AZ230</f>
        <v>1</v>
      </c>
    </row>
    <row r="231" spans="1:7" x14ac:dyDescent="0.2">
      <c r="A231" t="str">
        <f>Louisa_wConduits_Input_CSV!B231</f>
        <v>P1247</v>
      </c>
      <c r="B231" t="str">
        <f>_xlfn.XLOOKUP(A231,[1]Conduits_Condition!$A$2:$A$389,[1]Conduits_Condition!$B$2:$B$389)</f>
        <v>AC</v>
      </c>
      <c r="C231">
        <f ca="1">YEAR(TODAY())-_xlfn.XLOOKUP(A231,InstallDate!$B$2:$B$389,InstallDate!$BD$2:$BD$389)</f>
        <v>76</v>
      </c>
      <c r="D231">
        <f>Louisa_wConduits_Input_CSV!R231</f>
        <v>65.319209860000001</v>
      </c>
      <c r="E231">
        <f>Louisa_wConduits_Input_CSV!S231</f>
        <v>6</v>
      </c>
      <c r="F231">
        <f ca="1">_xlfn.XLOOKUP(A231,[1]LEYP_Input!A$2:A$389,[1]LEYP_Input!$C$2:$C$389)</f>
        <v>1</v>
      </c>
      <c r="G231">
        <f>Louisa_wConduits_Input_CSV!AZ231</f>
        <v>1</v>
      </c>
    </row>
    <row r="232" spans="1:7" x14ac:dyDescent="0.2">
      <c r="A232" t="str">
        <f>Louisa_wConduits_Input_CSV!B232</f>
        <v>P1249</v>
      </c>
      <c r="B232" t="str">
        <f>_xlfn.XLOOKUP(A232,[1]Conduits_Condition!$A$2:$A$389,[1]Conduits_Condition!$B$2:$B$389)</f>
        <v>AC</v>
      </c>
      <c r="C232">
        <f ca="1">YEAR(TODAY())-_xlfn.XLOOKUP(A232,InstallDate!$B$2:$B$389,InstallDate!$BD$2:$BD$389)</f>
        <v>76</v>
      </c>
      <c r="D232">
        <f>Louisa_wConduits_Input_CSV!R232</f>
        <v>519.24146189999999</v>
      </c>
      <c r="E232">
        <f>Louisa_wConduits_Input_CSV!S232</f>
        <v>6</v>
      </c>
      <c r="F232">
        <f ca="1">_xlfn.XLOOKUP(A232,[1]LEYP_Input!A$2:A$389,[1]LEYP_Input!$C$2:$C$389)</f>
        <v>1</v>
      </c>
      <c r="G232">
        <f>Louisa_wConduits_Input_CSV!AZ232</f>
        <v>1</v>
      </c>
    </row>
    <row r="233" spans="1:7" x14ac:dyDescent="0.2">
      <c r="A233" t="str">
        <f>Louisa_wConduits_Input_CSV!B233</f>
        <v>P1251</v>
      </c>
      <c r="B233" t="str">
        <f>_xlfn.XLOOKUP(A233,[1]Conduits_Condition!$A$2:$A$389,[1]Conduits_Condition!$B$2:$B$389)</f>
        <v>PVC</v>
      </c>
      <c r="C233">
        <f ca="1">YEAR(TODAY())-_xlfn.XLOOKUP(A233,InstallDate!$B$2:$B$389,InstallDate!$BD$2:$BD$389)</f>
        <v>46</v>
      </c>
      <c r="D233">
        <f>Louisa_wConduits_Input_CSV!R233</f>
        <v>614.26249759999996</v>
      </c>
      <c r="E233">
        <f>Louisa_wConduits_Input_CSV!S233</f>
        <v>6</v>
      </c>
      <c r="F233">
        <f ca="1">_xlfn.XLOOKUP(A233,[1]LEYP_Input!A$2:A$389,[1]LEYP_Input!$C$2:$C$389)</f>
        <v>1</v>
      </c>
      <c r="G233">
        <f>Louisa_wConduits_Input_CSV!AZ233</f>
        <v>1</v>
      </c>
    </row>
    <row r="234" spans="1:7" x14ac:dyDescent="0.2">
      <c r="A234" t="str">
        <f>Louisa_wConduits_Input_CSV!B234</f>
        <v>P1253</v>
      </c>
      <c r="B234" t="str">
        <f>_xlfn.XLOOKUP(A234,[1]Conduits_Condition!$A$2:$A$389,[1]Conduits_Condition!$B$2:$B$389)</f>
        <v>PVC</v>
      </c>
      <c r="C234">
        <f ca="1">YEAR(TODAY())-_xlfn.XLOOKUP(A234,InstallDate!$B$2:$B$389,InstallDate!$BD$2:$BD$389)</f>
        <v>46</v>
      </c>
      <c r="D234">
        <f>Louisa_wConduits_Input_CSV!R234</f>
        <v>43.252130999999999</v>
      </c>
      <c r="E234">
        <f>Louisa_wConduits_Input_CSV!S234</f>
        <v>6</v>
      </c>
      <c r="F234">
        <f ca="1">_xlfn.XLOOKUP(A234,[1]LEYP_Input!A$2:A$389,[1]LEYP_Input!$C$2:$C$389)</f>
        <v>1</v>
      </c>
      <c r="G234">
        <f>Louisa_wConduits_Input_CSV!AZ234</f>
        <v>1</v>
      </c>
    </row>
    <row r="235" spans="1:7" x14ac:dyDescent="0.2">
      <c r="A235" t="str">
        <f>Louisa_wConduits_Input_CSV!B235</f>
        <v>P1255</v>
      </c>
      <c r="B235" t="str">
        <f>_xlfn.XLOOKUP(A235,[1]Conduits_Condition!$A$2:$A$389,[1]Conduits_Condition!$B$2:$B$389)</f>
        <v>PVC</v>
      </c>
      <c r="C235">
        <f ca="1">YEAR(TODAY())-_xlfn.XLOOKUP(A235,InstallDate!$B$2:$B$389,InstallDate!$BD$2:$BD$389)</f>
        <v>76</v>
      </c>
      <c r="D235">
        <f>Louisa_wConduits_Input_CSV!R235</f>
        <v>24.76114381</v>
      </c>
      <c r="E235">
        <f>Louisa_wConduits_Input_CSV!S235</f>
        <v>6</v>
      </c>
      <c r="F235">
        <f ca="1">_xlfn.XLOOKUP(A235,[1]LEYP_Input!A$2:A$389,[1]LEYP_Input!$C$2:$C$389)</f>
        <v>1</v>
      </c>
      <c r="G235">
        <f>Louisa_wConduits_Input_CSV!AZ235</f>
        <v>3</v>
      </c>
    </row>
    <row r="236" spans="1:7" x14ac:dyDescent="0.2">
      <c r="A236" t="str">
        <f>Louisa_wConduits_Input_CSV!B236</f>
        <v>P1257</v>
      </c>
      <c r="B236" t="str">
        <f>_xlfn.XLOOKUP(A236,[1]Conduits_Condition!$A$2:$A$389,[1]Conduits_Condition!$B$2:$B$389)</f>
        <v>PVC</v>
      </c>
      <c r="C236">
        <f ca="1">YEAR(TODAY())-_xlfn.XLOOKUP(A236,InstallDate!$B$2:$B$389,InstallDate!$BD$2:$BD$389)</f>
        <v>46</v>
      </c>
      <c r="D236">
        <f>Louisa_wConduits_Input_CSV!R236</f>
        <v>1193.7274669999999</v>
      </c>
      <c r="E236">
        <f>Louisa_wConduits_Input_CSV!S236</f>
        <v>6</v>
      </c>
      <c r="F236">
        <f ca="1">_xlfn.XLOOKUP(A236,[1]LEYP_Input!A$2:A$389,[1]LEYP_Input!$C$2:$C$389)</f>
        <v>1</v>
      </c>
      <c r="G236">
        <f>Louisa_wConduits_Input_CSV!AZ236</f>
        <v>2</v>
      </c>
    </row>
    <row r="237" spans="1:7" x14ac:dyDescent="0.2">
      <c r="A237" t="str">
        <f>Louisa_wConduits_Input_CSV!B237</f>
        <v>P1259</v>
      </c>
      <c r="B237" t="str">
        <f>_xlfn.XLOOKUP(A237,[1]Conduits_Condition!$A$2:$A$389,[1]Conduits_Condition!$B$2:$B$389)</f>
        <v>PVC</v>
      </c>
      <c r="C237">
        <f ca="1">YEAR(TODAY())-_xlfn.XLOOKUP(A237,InstallDate!$B$2:$B$389,InstallDate!$BD$2:$BD$389)</f>
        <v>46</v>
      </c>
      <c r="D237">
        <f>Louisa_wConduits_Input_CSV!R237</f>
        <v>967.53173800000002</v>
      </c>
      <c r="E237">
        <f>Louisa_wConduits_Input_CSV!S237</f>
        <v>6</v>
      </c>
      <c r="F237">
        <f ca="1">_xlfn.XLOOKUP(A237,[1]LEYP_Input!A$2:A$389,[1]LEYP_Input!$C$2:$C$389)</f>
        <v>1</v>
      </c>
      <c r="G237">
        <f>Louisa_wConduits_Input_CSV!AZ237</f>
        <v>2</v>
      </c>
    </row>
    <row r="238" spans="1:7" x14ac:dyDescent="0.2">
      <c r="A238" t="str">
        <f>Louisa_wConduits_Input_CSV!B238</f>
        <v>P1261</v>
      </c>
      <c r="B238" t="str">
        <f>_xlfn.XLOOKUP(A238,[1]Conduits_Condition!$A$2:$A$389,[1]Conduits_Condition!$B$2:$B$389)</f>
        <v>PVC</v>
      </c>
      <c r="C238">
        <f ca="1">YEAR(TODAY())-_xlfn.XLOOKUP(A238,InstallDate!$B$2:$B$389,InstallDate!$BD$2:$BD$389)</f>
        <v>46</v>
      </c>
      <c r="D238">
        <f>Louisa_wConduits_Input_CSV!R238</f>
        <v>33.308041430000003</v>
      </c>
      <c r="E238">
        <f>Louisa_wConduits_Input_CSV!S238</f>
        <v>6</v>
      </c>
      <c r="F238">
        <f ca="1">_xlfn.XLOOKUP(A238,[1]LEYP_Input!A$2:A$389,[1]LEYP_Input!$C$2:$C$389)</f>
        <v>1</v>
      </c>
      <c r="G238">
        <f>Louisa_wConduits_Input_CSV!AZ238</f>
        <v>2</v>
      </c>
    </row>
    <row r="239" spans="1:7" x14ac:dyDescent="0.2">
      <c r="A239" t="str">
        <f>Louisa_wConduits_Input_CSV!B239</f>
        <v>P1263</v>
      </c>
      <c r="B239" t="str">
        <f>_xlfn.XLOOKUP(A239,[1]Conduits_Condition!$A$2:$A$389,[1]Conduits_Condition!$B$2:$B$389)</f>
        <v>PVC</v>
      </c>
      <c r="C239">
        <f ca="1">YEAR(TODAY())-_xlfn.XLOOKUP(A239,InstallDate!$B$2:$B$389,InstallDate!$BD$2:$BD$389)</f>
        <v>46</v>
      </c>
      <c r="D239">
        <f>Louisa_wConduits_Input_CSV!R239</f>
        <v>228.6380628</v>
      </c>
      <c r="E239">
        <f>Louisa_wConduits_Input_CSV!S239</f>
        <v>6</v>
      </c>
      <c r="F239">
        <f ca="1">_xlfn.XLOOKUP(A239,[1]LEYP_Input!A$2:A$389,[1]LEYP_Input!$C$2:$C$389)</f>
        <v>1</v>
      </c>
      <c r="G239">
        <f>Louisa_wConduits_Input_CSV!AZ239</f>
        <v>2</v>
      </c>
    </row>
    <row r="240" spans="1:7" x14ac:dyDescent="0.2">
      <c r="A240" t="str">
        <f>Louisa_wConduits_Input_CSV!B240</f>
        <v>P1265</v>
      </c>
      <c r="B240" t="str">
        <f>_xlfn.XLOOKUP(A240,[1]Conduits_Condition!$A$2:$A$389,[1]Conduits_Condition!$B$2:$B$389)</f>
        <v>PVC</v>
      </c>
      <c r="C240">
        <f ca="1">YEAR(TODAY())-_xlfn.XLOOKUP(A240,InstallDate!$B$2:$B$389,InstallDate!$BD$2:$BD$389)</f>
        <v>46</v>
      </c>
      <c r="D240">
        <f>Louisa_wConduits_Input_CSV!R240</f>
        <v>62.34762834</v>
      </c>
      <c r="E240">
        <f>Louisa_wConduits_Input_CSV!S240</f>
        <v>6</v>
      </c>
      <c r="F240">
        <f ca="1">_xlfn.XLOOKUP(A240,[1]LEYP_Input!A$2:A$389,[1]LEYP_Input!$C$2:$C$389)</f>
        <v>1</v>
      </c>
      <c r="G240">
        <f>Louisa_wConduits_Input_CSV!AZ240</f>
        <v>2</v>
      </c>
    </row>
    <row r="241" spans="1:7" x14ac:dyDescent="0.2">
      <c r="A241" t="str">
        <f>Louisa_wConduits_Input_CSV!B241</f>
        <v>P1267</v>
      </c>
      <c r="B241" t="str">
        <f>_xlfn.XLOOKUP(A241,[1]Conduits_Condition!$A$2:$A$389,[1]Conduits_Condition!$B$2:$B$389)</f>
        <v>PVC</v>
      </c>
      <c r="C241">
        <f ca="1">YEAR(TODAY())-_xlfn.XLOOKUP(A241,InstallDate!$B$2:$B$389,InstallDate!$BD$2:$BD$389)</f>
        <v>46</v>
      </c>
      <c r="D241">
        <f>Louisa_wConduits_Input_CSV!R241</f>
        <v>528.52729450000004</v>
      </c>
      <c r="E241">
        <f>Louisa_wConduits_Input_CSV!S241</f>
        <v>6</v>
      </c>
      <c r="F241">
        <f ca="1">_xlfn.XLOOKUP(A241,[1]LEYP_Input!A$2:A$389,[1]LEYP_Input!$C$2:$C$389)</f>
        <v>1</v>
      </c>
      <c r="G241">
        <f>Louisa_wConduits_Input_CSV!AZ241</f>
        <v>2</v>
      </c>
    </row>
    <row r="242" spans="1:7" x14ac:dyDescent="0.2">
      <c r="A242" t="str">
        <f>Louisa_wConduits_Input_CSV!B242</f>
        <v>P1269</v>
      </c>
      <c r="B242" t="str">
        <f>_xlfn.XLOOKUP(A242,[1]Conduits_Condition!$A$2:$A$389,[1]Conduits_Condition!$B$2:$B$389)</f>
        <v>PVC</v>
      </c>
      <c r="C242">
        <f ca="1">YEAR(TODAY())-_xlfn.XLOOKUP(A242,InstallDate!$B$2:$B$389,InstallDate!$BD$2:$BD$389)</f>
        <v>46</v>
      </c>
      <c r="D242">
        <f>Louisa_wConduits_Input_CSV!R242</f>
        <v>455.58295479999998</v>
      </c>
      <c r="E242">
        <f>Louisa_wConduits_Input_CSV!S242</f>
        <v>6</v>
      </c>
      <c r="F242">
        <f ca="1">_xlfn.XLOOKUP(A242,[1]LEYP_Input!A$2:A$389,[1]LEYP_Input!$C$2:$C$389)</f>
        <v>1</v>
      </c>
      <c r="G242">
        <f>Louisa_wConduits_Input_CSV!AZ242</f>
        <v>2</v>
      </c>
    </row>
    <row r="243" spans="1:7" x14ac:dyDescent="0.2">
      <c r="A243" t="str">
        <f>Louisa_wConduits_Input_CSV!B243</f>
        <v>P1271</v>
      </c>
      <c r="B243" t="str">
        <f>_xlfn.XLOOKUP(A243,[1]Conduits_Condition!$A$2:$A$389,[1]Conduits_Condition!$B$2:$B$389)</f>
        <v>PVC</v>
      </c>
      <c r="C243">
        <f ca="1">YEAR(TODAY())-_xlfn.XLOOKUP(A243,InstallDate!$B$2:$B$389,InstallDate!$BD$2:$BD$389)</f>
        <v>76</v>
      </c>
      <c r="D243">
        <f>Louisa_wConduits_Input_CSV!R243</f>
        <v>31.658261719999999</v>
      </c>
      <c r="E243">
        <f>Louisa_wConduits_Input_CSV!S243</f>
        <v>6</v>
      </c>
      <c r="F243">
        <f ca="1">_xlfn.XLOOKUP(A243,[1]LEYP_Input!A$2:A$389,[1]LEYP_Input!$C$2:$C$389)</f>
        <v>1</v>
      </c>
      <c r="G243">
        <f>Louisa_wConduits_Input_CSV!AZ243</f>
        <v>2</v>
      </c>
    </row>
    <row r="244" spans="1:7" x14ac:dyDescent="0.2">
      <c r="A244" t="str">
        <f>Louisa_wConduits_Input_CSV!B244</f>
        <v>P1273</v>
      </c>
      <c r="B244" t="str">
        <f>_xlfn.XLOOKUP(A244,[1]Conduits_Condition!$A$2:$A$389,[1]Conduits_Condition!$B$2:$B$389)</f>
        <v>PVC</v>
      </c>
      <c r="C244">
        <f ca="1">YEAR(TODAY())-_xlfn.XLOOKUP(A244,InstallDate!$B$2:$B$389,InstallDate!$BD$2:$BD$389)</f>
        <v>76</v>
      </c>
      <c r="D244">
        <f>Louisa_wConduits_Input_CSV!R244</f>
        <v>425.86990750000001</v>
      </c>
      <c r="E244">
        <f>Louisa_wConduits_Input_CSV!S244</f>
        <v>2</v>
      </c>
      <c r="F244">
        <f ca="1">_xlfn.XLOOKUP(A244,[1]LEYP_Input!A$2:A$389,[1]LEYP_Input!$C$2:$C$389)</f>
        <v>1</v>
      </c>
      <c r="G244">
        <f>Louisa_wConduits_Input_CSV!AZ244</f>
        <v>1</v>
      </c>
    </row>
    <row r="245" spans="1:7" x14ac:dyDescent="0.2">
      <c r="A245" t="str">
        <f>Louisa_wConduits_Input_CSV!B245</f>
        <v>P1275</v>
      </c>
      <c r="B245" t="str">
        <f>_xlfn.XLOOKUP(A245,[1]Conduits_Condition!$A$2:$A$389,[1]Conduits_Condition!$B$2:$B$389)</f>
        <v>GI</v>
      </c>
      <c r="C245">
        <f ca="1">YEAR(TODAY())-_xlfn.XLOOKUP(A245,InstallDate!$B$2:$B$389,InstallDate!$BD$2:$BD$389)</f>
        <v>76</v>
      </c>
      <c r="D245">
        <f>Louisa_wConduits_Input_CSV!R245</f>
        <v>34.196326089999999</v>
      </c>
      <c r="E245">
        <f>Louisa_wConduits_Input_CSV!S245</f>
        <v>2</v>
      </c>
      <c r="F245">
        <f ca="1">_xlfn.XLOOKUP(A245,[1]LEYP_Input!A$2:A$389,[1]LEYP_Input!$C$2:$C$389)</f>
        <v>1</v>
      </c>
      <c r="G245">
        <f>Louisa_wConduits_Input_CSV!AZ245</f>
        <v>2</v>
      </c>
    </row>
    <row r="246" spans="1:7" x14ac:dyDescent="0.2">
      <c r="A246" t="str">
        <f>Louisa_wConduits_Input_CSV!B246</f>
        <v>P1277</v>
      </c>
      <c r="B246" t="str">
        <f>_xlfn.XLOOKUP(A246,[1]Conduits_Condition!$A$2:$A$389,[1]Conduits_Condition!$B$2:$B$389)</f>
        <v>GI</v>
      </c>
      <c r="C246">
        <f ca="1">YEAR(TODAY())-_xlfn.XLOOKUP(A246,InstallDate!$B$2:$B$389,InstallDate!$BD$2:$BD$389)</f>
        <v>76</v>
      </c>
      <c r="D246">
        <f>Louisa_wConduits_Input_CSV!R246</f>
        <v>216.6383419</v>
      </c>
      <c r="E246">
        <f>Louisa_wConduits_Input_CSV!S246</f>
        <v>2</v>
      </c>
      <c r="F246">
        <f ca="1">_xlfn.XLOOKUP(A246,[1]LEYP_Input!A$2:A$389,[1]LEYP_Input!$C$2:$C$389)</f>
        <v>1</v>
      </c>
      <c r="G246">
        <f>Louisa_wConduits_Input_CSV!AZ246</f>
        <v>2</v>
      </c>
    </row>
    <row r="247" spans="1:7" x14ac:dyDescent="0.2">
      <c r="A247" t="str">
        <f>Louisa_wConduits_Input_CSV!B247</f>
        <v>P1279</v>
      </c>
      <c r="B247" t="str">
        <f>_xlfn.XLOOKUP(A247,[1]Conduits_Condition!$A$2:$A$389,[1]Conduits_Condition!$B$2:$B$389)</f>
        <v>GI</v>
      </c>
      <c r="C247">
        <f ca="1">YEAR(TODAY())-_xlfn.XLOOKUP(A247,InstallDate!$B$2:$B$389,InstallDate!$BD$2:$BD$389)</f>
        <v>76</v>
      </c>
      <c r="D247">
        <f>Louisa_wConduits_Input_CSV!R247</f>
        <v>456.69837489999998</v>
      </c>
      <c r="E247">
        <f>Louisa_wConduits_Input_CSV!S247</f>
        <v>2</v>
      </c>
      <c r="F247">
        <f ca="1">_xlfn.XLOOKUP(A247,[1]LEYP_Input!A$2:A$389,[1]LEYP_Input!$C$2:$C$389)</f>
        <v>1</v>
      </c>
      <c r="G247">
        <f>Louisa_wConduits_Input_CSV!AZ247</f>
        <v>2</v>
      </c>
    </row>
    <row r="248" spans="1:7" x14ac:dyDescent="0.2">
      <c r="A248" t="str">
        <f>Louisa_wConduits_Input_CSV!B248</f>
        <v>P1281</v>
      </c>
      <c r="B248" t="str">
        <f>_xlfn.XLOOKUP(A248,[1]Conduits_Condition!$A$2:$A$389,[1]Conduits_Condition!$B$2:$B$389)</f>
        <v>PVC</v>
      </c>
      <c r="C248">
        <f ca="1">YEAR(TODAY())-_xlfn.XLOOKUP(A248,InstallDate!$B$2:$B$389,InstallDate!$BD$2:$BD$389)</f>
        <v>76</v>
      </c>
      <c r="D248">
        <f>Louisa_wConduits_Input_CSV!R248</f>
        <v>397.55740259999999</v>
      </c>
      <c r="E248">
        <f>Louisa_wConduits_Input_CSV!S248</f>
        <v>2</v>
      </c>
      <c r="F248">
        <f ca="1">_xlfn.XLOOKUP(A248,[1]LEYP_Input!A$2:A$389,[1]LEYP_Input!$C$2:$C$389)</f>
        <v>1</v>
      </c>
      <c r="G248">
        <f>Louisa_wConduits_Input_CSV!AZ248</f>
        <v>1</v>
      </c>
    </row>
    <row r="249" spans="1:7" x14ac:dyDescent="0.2">
      <c r="A249" t="str">
        <f>Louisa_wConduits_Input_CSV!B249</f>
        <v>P1283</v>
      </c>
      <c r="B249" t="str">
        <f>_xlfn.XLOOKUP(A249,[1]Conduits_Condition!$A$2:$A$389,[1]Conduits_Condition!$B$2:$B$389)</f>
        <v>PVC</v>
      </c>
      <c r="C249">
        <f ca="1">YEAR(TODAY())-_xlfn.XLOOKUP(A249,InstallDate!$B$2:$B$389,InstallDate!$BD$2:$BD$389)</f>
        <v>96</v>
      </c>
      <c r="D249">
        <f>Louisa_wConduits_Input_CSV!R249</f>
        <v>835.34631239999999</v>
      </c>
      <c r="E249">
        <f>Louisa_wConduits_Input_CSV!S249</f>
        <v>6</v>
      </c>
      <c r="F249">
        <f ca="1">_xlfn.XLOOKUP(A249,[1]LEYP_Input!A$2:A$389,[1]LEYP_Input!$C$2:$C$389)</f>
        <v>1</v>
      </c>
      <c r="G249">
        <f>Louisa_wConduits_Input_CSV!AZ249</f>
        <v>2</v>
      </c>
    </row>
    <row r="250" spans="1:7" x14ac:dyDescent="0.2">
      <c r="A250" t="str">
        <f>Louisa_wConduits_Input_CSV!B250</f>
        <v>P1285</v>
      </c>
      <c r="B250" t="str">
        <f>_xlfn.XLOOKUP(A250,[1]Conduits_Condition!$A$2:$A$389,[1]Conduits_Condition!$B$2:$B$389)</f>
        <v>PVC</v>
      </c>
      <c r="C250">
        <f ca="1">YEAR(TODAY())-_xlfn.XLOOKUP(A250,InstallDate!$B$2:$B$389,InstallDate!$BD$2:$BD$389)</f>
        <v>96</v>
      </c>
      <c r="D250">
        <f>Louisa_wConduits_Input_CSV!R250</f>
        <v>964.16866900000002</v>
      </c>
      <c r="E250">
        <f>Louisa_wConduits_Input_CSV!S250</f>
        <v>6</v>
      </c>
      <c r="F250">
        <f ca="1">_xlfn.XLOOKUP(A250,[1]LEYP_Input!A$2:A$389,[1]LEYP_Input!$C$2:$C$389)</f>
        <v>1</v>
      </c>
      <c r="G250">
        <f>Louisa_wConduits_Input_CSV!AZ250</f>
        <v>2</v>
      </c>
    </row>
    <row r="251" spans="1:7" x14ac:dyDescent="0.2">
      <c r="A251" t="str">
        <f>Louisa_wConduits_Input_CSV!B251</f>
        <v>P1287</v>
      </c>
      <c r="B251" t="str">
        <f>_xlfn.XLOOKUP(A251,[1]Conduits_Condition!$A$2:$A$389,[1]Conduits_Condition!$B$2:$B$389)</f>
        <v>GI</v>
      </c>
      <c r="C251">
        <f ca="1">YEAR(TODAY())-_xlfn.XLOOKUP(A251,InstallDate!$B$2:$B$389,InstallDate!$BD$2:$BD$389)</f>
        <v>96</v>
      </c>
      <c r="D251">
        <f>Louisa_wConduits_Input_CSV!R251</f>
        <v>341.4388884</v>
      </c>
      <c r="E251">
        <f>Louisa_wConduits_Input_CSV!S251</f>
        <v>3</v>
      </c>
      <c r="F251">
        <f ca="1">_xlfn.XLOOKUP(A251,[1]LEYP_Input!A$2:A$389,[1]LEYP_Input!$C$2:$C$389)</f>
        <v>1</v>
      </c>
      <c r="G251">
        <f>Louisa_wConduits_Input_CSV!AZ251</f>
        <v>1</v>
      </c>
    </row>
    <row r="252" spans="1:7" x14ac:dyDescent="0.2">
      <c r="A252" t="str">
        <f>Louisa_wConduits_Input_CSV!B252</f>
        <v>P1289</v>
      </c>
      <c r="B252" t="str">
        <f>_xlfn.XLOOKUP(A252,[1]Conduits_Condition!$A$2:$A$389,[1]Conduits_Condition!$B$2:$B$389)</f>
        <v>GI</v>
      </c>
      <c r="C252">
        <f ca="1">YEAR(TODAY())-_xlfn.XLOOKUP(A252,InstallDate!$B$2:$B$389,InstallDate!$BD$2:$BD$389)</f>
        <v>76</v>
      </c>
      <c r="D252">
        <f>Louisa_wConduits_Input_CSV!R252</f>
        <v>42.477414520000004</v>
      </c>
      <c r="E252">
        <f>Louisa_wConduits_Input_CSV!S252</f>
        <v>3</v>
      </c>
      <c r="F252">
        <f ca="1">_xlfn.XLOOKUP(A252,[1]LEYP_Input!A$2:A$389,[1]LEYP_Input!$C$2:$C$389)</f>
        <v>1</v>
      </c>
      <c r="G252">
        <f>Louisa_wConduits_Input_CSV!AZ252</f>
        <v>1</v>
      </c>
    </row>
    <row r="253" spans="1:7" x14ac:dyDescent="0.2">
      <c r="A253" t="str">
        <f>Louisa_wConduits_Input_CSV!B253</f>
        <v>P1291</v>
      </c>
      <c r="B253" t="str">
        <f>_xlfn.XLOOKUP(A253,[1]Conduits_Condition!$A$2:$A$389,[1]Conduits_Condition!$B$2:$B$389)</f>
        <v>GI</v>
      </c>
      <c r="C253">
        <f ca="1">YEAR(TODAY())-_xlfn.XLOOKUP(A253,InstallDate!$B$2:$B$389,InstallDate!$BD$2:$BD$389)</f>
        <v>76</v>
      </c>
      <c r="D253">
        <f>Louisa_wConduits_Input_CSV!R253</f>
        <v>34.797910790000003</v>
      </c>
      <c r="E253">
        <f>Louisa_wConduits_Input_CSV!S253</f>
        <v>1.5</v>
      </c>
      <c r="F253">
        <f ca="1">_xlfn.XLOOKUP(A253,[1]LEYP_Input!A$2:A$389,[1]LEYP_Input!$C$2:$C$389)</f>
        <v>1</v>
      </c>
      <c r="G253">
        <f>Louisa_wConduits_Input_CSV!AZ253</f>
        <v>1</v>
      </c>
    </row>
    <row r="254" spans="1:7" x14ac:dyDescent="0.2">
      <c r="A254" t="str">
        <f>Louisa_wConduits_Input_CSV!B254</f>
        <v>P1293</v>
      </c>
      <c r="B254" t="str">
        <f>_xlfn.XLOOKUP(A254,[1]Conduits_Condition!$A$2:$A$389,[1]Conduits_Condition!$B$2:$B$389)</f>
        <v>GI</v>
      </c>
      <c r="C254">
        <f ca="1">YEAR(TODAY())-_xlfn.XLOOKUP(A254,InstallDate!$B$2:$B$389,InstallDate!$BD$2:$BD$389)</f>
        <v>76</v>
      </c>
      <c r="D254">
        <f>Louisa_wConduits_Input_CSV!R254</f>
        <v>339.34255530000001</v>
      </c>
      <c r="E254">
        <f>Louisa_wConduits_Input_CSV!S254</f>
        <v>1.5</v>
      </c>
      <c r="F254">
        <f ca="1">_xlfn.XLOOKUP(A254,[1]LEYP_Input!A$2:A$389,[1]LEYP_Input!$C$2:$C$389)</f>
        <v>1</v>
      </c>
      <c r="G254">
        <f>Louisa_wConduits_Input_CSV!AZ254</f>
        <v>1</v>
      </c>
    </row>
    <row r="255" spans="1:7" x14ac:dyDescent="0.2">
      <c r="A255" t="str">
        <f>Louisa_wConduits_Input_CSV!B255</f>
        <v>P1295</v>
      </c>
      <c r="B255" t="str">
        <f>_xlfn.XLOOKUP(A255,[1]Conduits_Condition!$A$2:$A$389,[1]Conduits_Condition!$B$2:$B$389)</f>
        <v>GI</v>
      </c>
      <c r="C255">
        <f ca="1">YEAR(TODAY())-_xlfn.XLOOKUP(A255,InstallDate!$B$2:$B$389,InstallDate!$BD$2:$BD$389)</f>
        <v>76</v>
      </c>
      <c r="D255">
        <f>Louisa_wConduits_Input_CSV!R255</f>
        <v>91.161349770000001</v>
      </c>
      <c r="E255">
        <f>Louisa_wConduits_Input_CSV!S255</f>
        <v>1.5</v>
      </c>
      <c r="F255">
        <f ca="1">_xlfn.XLOOKUP(A255,[1]LEYP_Input!A$2:A$389,[1]LEYP_Input!$C$2:$C$389)</f>
        <v>1</v>
      </c>
      <c r="G255">
        <f>Louisa_wConduits_Input_CSV!AZ255</f>
        <v>1</v>
      </c>
    </row>
    <row r="256" spans="1:7" x14ac:dyDescent="0.2">
      <c r="A256" t="str">
        <f>Louisa_wConduits_Input_CSV!B256</f>
        <v>P1297</v>
      </c>
      <c r="B256" t="str">
        <f>_xlfn.XLOOKUP(A256,[1]Conduits_Condition!$A$2:$A$389,[1]Conduits_Condition!$B$2:$B$389)</f>
        <v>GI</v>
      </c>
      <c r="C256">
        <f ca="1">YEAR(TODAY())-_xlfn.XLOOKUP(A256,InstallDate!$B$2:$B$389,InstallDate!$BD$2:$BD$389)</f>
        <v>76</v>
      </c>
      <c r="D256">
        <f>Louisa_wConduits_Input_CSV!R256</f>
        <v>1702.058368</v>
      </c>
      <c r="E256">
        <f>Louisa_wConduits_Input_CSV!S256</f>
        <v>1.5</v>
      </c>
      <c r="F256">
        <f ca="1">_xlfn.XLOOKUP(A256,[1]LEYP_Input!A$2:A$389,[1]LEYP_Input!$C$2:$C$389)</f>
        <v>1</v>
      </c>
      <c r="G256">
        <f>Louisa_wConduits_Input_CSV!AZ256</f>
        <v>1</v>
      </c>
    </row>
    <row r="257" spans="1:7" x14ac:dyDescent="0.2">
      <c r="A257" t="str">
        <f>Louisa_wConduits_Input_CSV!B257</f>
        <v>P1299</v>
      </c>
      <c r="B257" t="str">
        <f>_xlfn.XLOOKUP(A257,[1]Conduits_Condition!$A$2:$A$389,[1]Conduits_Condition!$B$2:$B$389)</f>
        <v>PVC</v>
      </c>
      <c r="C257">
        <f ca="1">YEAR(TODAY())-_xlfn.XLOOKUP(A257,InstallDate!$B$2:$B$389,InstallDate!$BD$2:$BD$389)</f>
        <v>46</v>
      </c>
      <c r="D257">
        <f>Louisa_wConduits_Input_CSV!R257</f>
        <v>39.32279715</v>
      </c>
      <c r="E257">
        <f>Louisa_wConduits_Input_CSV!S257</f>
        <v>6</v>
      </c>
      <c r="F257">
        <f ca="1">_xlfn.XLOOKUP(A257,[1]LEYP_Input!A$2:A$389,[1]LEYP_Input!$C$2:$C$389)</f>
        <v>1</v>
      </c>
      <c r="G257">
        <f>Louisa_wConduits_Input_CSV!AZ257</f>
        <v>1</v>
      </c>
    </row>
    <row r="258" spans="1:7" x14ac:dyDescent="0.2">
      <c r="A258" t="str">
        <f>Louisa_wConduits_Input_CSV!B258</f>
        <v>P1301</v>
      </c>
      <c r="B258" t="str">
        <f>_xlfn.XLOOKUP(A258,[1]Conduits_Condition!$A$2:$A$389,[1]Conduits_Condition!$B$2:$B$389)</f>
        <v>PVC</v>
      </c>
      <c r="C258">
        <f ca="1">YEAR(TODAY())-_xlfn.XLOOKUP(A258,InstallDate!$B$2:$B$389,InstallDate!$BD$2:$BD$389)</f>
        <v>96</v>
      </c>
      <c r="D258">
        <f>Louisa_wConduits_Input_CSV!R258</f>
        <v>953.24641220000001</v>
      </c>
      <c r="E258">
        <f>Louisa_wConduits_Input_CSV!S258</f>
        <v>6</v>
      </c>
      <c r="F258">
        <f ca="1">_xlfn.XLOOKUP(A258,[1]LEYP_Input!A$2:A$389,[1]LEYP_Input!$C$2:$C$389)</f>
        <v>1</v>
      </c>
      <c r="G258">
        <f>Louisa_wConduits_Input_CSV!AZ258</f>
        <v>1</v>
      </c>
    </row>
    <row r="259" spans="1:7" x14ac:dyDescent="0.2">
      <c r="A259" t="str">
        <f>Louisa_wConduits_Input_CSV!B259</f>
        <v>P1303</v>
      </c>
      <c r="B259" t="str">
        <f>_xlfn.XLOOKUP(A259,[1]Conduits_Condition!$A$2:$A$389,[1]Conduits_Condition!$B$2:$B$389)</f>
        <v>CI</v>
      </c>
      <c r="C259">
        <f ca="1">YEAR(TODAY())-_xlfn.XLOOKUP(A259,InstallDate!$B$2:$B$389,InstallDate!$BD$2:$BD$389)</f>
        <v>96</v>
      </c>
      <c r="D259">
        <f>Louisa_wConduits_Input_CSV!R259</f>
        <v>30.705258449999999</v>
      </c>
      <c r="E259">
        <f>Louisa_wConduits_Input_CSV!S259</f>
        <v>6</v>
      </c>
      <c r="F259">
        <f ca="1">_xlfn.XLOOKUP(A259,[1]LEYP_Input!A$2:A$389,[1]LEYP_Input!$C$2:$C$389)</f>
        <v>1</v>
      </c>
      <c r="G259">
        <f>Louisa_wConduits_Input_CSV!AZ259</f>
        <v>2</v>
      </c>
    </row>
    <row r="260" spans="1:7" x14ac:dyDescent="0.2">
      <c r="A260" t="str">
        <f>Louisa_wConduits_Input_CSV!B260</f>
        <v>P1305</v>
      </c>
      <c r="B260" t="str">
        <f>_xlfn.XLOOKUP(A260,[1]Conduits_Condition!$A$2:$A$389,[1]Conduits_Condition!$B$2:$B$389)</f>
        <v>CI</v>
      </c>
      <c r="C260">
        <f ca="1">YEAR(TODAY())-_xlfn.XLOOKUP(A260,InstallDate!$B$2:$B$389,InstallDate!$BD$2:$BD$389)</f>
        <v>96</v>
      </c>
      <c r="D260">
        <f>Louisa_wConduits_Input_CSV!R260</f>
        <v>372.37186200000002</v>
      </c>
      <c r="E260">
        <f>Louisa_wConduits_Input_CSV!S260</f>
        <v>6</v>
      </c>
      <c r="F260">
        <f ca="1">_xlfn.XLOOKUP(A260,[1]LEYP_Input!A$2:A$389,[1]LEYP_Input!$C$2:$C$389)</f>
        <v>1</v>
      </c>
      <c r="G260">
        <f>Louisa_wConduits_Input_CSV!AZ260</f>
        <v>2</v>
      </c>
    </row>
    <row r="261" spans="1:7" x14ac:dyDescent="0.2">
      <c r="A261" t="str">
        <f>Louisa_wConduits_Input_CSV!B261</f>
        <v>P1307</v>
      </c>
      <c r="B261" t="str">
        <f>_xlfn.XLOOKUP(A261,[1]Conduits_Condition!$A$2:$A$389,[1]Conduits_Condition!$B$2:$B$389)</f>
        <v>PVC</v>
      </c>
      <c r="C261">
        <f ca="1">YEAR(TODAY())-_xlfn.XLOOKUP(A261,InstallDate!$B$2:$B$389,InstallDate!$BD$2:$BD$389)</f>
        <v>46</v>
      </c>
      <c r="D261">
        <f>Louisa_wConduits_Input_CSV!R261</f>
        <v>422.59503890000002</v>
      </c>
      <c r="E261">
        <f>Louisa_wConduits_Input_CSV!S261</f>
        <v>2</v>
      </c>
      <c r="F261">
        <f ca="1">_xlfn.XLOOKUP(A261,[1]LEYP_Input!A$2:A$389,[1]LEYP_Input!$C$2:$C$389)</f>
        <v>1</v>
      </c>
      <c r="G261">
        <f>Louisa_wConduits_Input_CSV!AZ261</f>
        <v>1</v>
      </c>
    </row>
    <row r="262" spans="1:7" x14ac:dyDescent="0.2">
      <c r="A262" t="str">
        <f>Louisa_wConduits_Input_CSV!B262</f>
        <v>P1309</v>
      </c>
      <c r="B262" t="str">
        <f>_xlfn.XLOOKUP(A262,[1]Conduits_Condition!$A$2:$A$389,[1]Conduits_Condition!$B$2:$B$389)</f>
        <v>CI</v>
      </c>
      <c r="C262">
        <f ca="1">YEAR(TODAY())-_xlfn.XLOOKUP(A262,InstallDate!$B$2:$B$389,InstallDate!$BD$2:$BD$389)</f>
        <v>96</v>
      </c>
      <c r="D262">
        <f>Louisa_wConduits_Input_CSV!R262</f>
        <v>25.228003210000001</v>
      </c>
      <c r="E262">
        <f>Louisa_wConduits_Input_CSV!S262</f>
        <v>8</v>
      </c>
      <c r="F262">
        <f ca="1">_xlfn.XLOOKUP(A262,[1]LEYP_Input!A$2:A$389,[1]LEYP_Input!$C$2:$C$389)</f>
        <v>1</v>
      </c>
      <c r="G262">
        <f>Louisa_wConduits_Input_CSV!AZ262</f>
        <v>3</v>
      </c>
    </row>
    <row r="263" spans="1:7" x14ac:dyDescent="0.2">
      <c r="A263" t="str">
        <f>Louisa_wConduits_Input_CSV!B263</f>
        <v>P1311</v>
      </c>
      <c r="B263" t="str">
        <f>_xlfn.XLOOKUP(A263,[1]Conduits_Condition!$A$2:$A$389,[1]Conduits_Condition!$B$2:$B$389)</f>
        <v>Default</v>
      </c>
      <c r="C263">
        <f ca="1">YEAR(TODAY())-_xlfn.XLOOKUP(A263,InstallDate!$B$2:$B$389,InstallDate!$BD$2:$BD$389)</f>
        <v>96</v>
      </c>
      <c r="D263">
        <f>Louisa_wConduits_Input_CSV!R263</f>
        <v>180</v>
      </c>
      <c r="E263">
        <f>Louisa_wConduits_Input_CSV!S263</f>
        <v>8</v>
      </c>
      <c r="F263">
        <f ca="1">_xlfn.XLOOKUP(A263,[1]LEYP_Input!A$2:A$389,[1]LEYP_Input!$C$2:$C$389)</f>
        <v>1</v>
      </c>
      <c r="G263">
        <f>Louisa_wConduits_Input_CSV!AZ263</f>
        <v>2</v>
      </c>
    </row>
    <row r="264" spans="1:7" x14ac:dyDescent="0.2">
      <c r="A264" t="str">
        <f>Louisa_wConduits_Input_CSV!B264</f>
        <v>P1313</v>
      </c>
      <c r="B264" t="str">
        <f>_xlfn.XLOOKUP(A264,[1]Conduits_Condition!$A$2:$A$389,[1]Conduits_Condition!$B$2:$B$389)</f>
        <v>CI</v>
      </c>
      <c r="C264">
        <f ca="1">YEAR(TODAY())-_xlfn.XLOOKUP(A264,InstallDate!$B$2:$B$389,InstallDate!$BD$2:$BD$389)</f>
        <v>96</v>
      </c>
      <c r="D264">
        <f>Louisa_wConduits_Input_CSV!R264</f>
        <v>125.4573384</v>
      </c>
      <c r="E264">
        <f>Louisa_wConduits_Input_CSV!S264</f>
        <v>6</v>
      </c>
      <c r="F264">
        <f ca="1">_xlfn.XLOOKUP(A264,[1]LEYP_Input!A$2:A$389,[1]LEYP_Input!$C$2:$C$389)</f>
        <v>1</v>
      </c>
      <c r="G264">
        <f>Louisa_wConduits_Input_CSV!AZ264</f>
        <v>1</v>
      </c>
    </row>
    <row r="265" spans="1:7" x14ac:dyDescent="0.2">
      <c r="A265" t="str">
        <f>Louisa_wConduits_Input_CSV!B265</f>
        <v>P1315</v>
      </c>
      <c r="B265" t="str">
        <f>_xlfn.XLOOKUP(A265,[1]Conduits_Condition!$A$2:$A$389,[1]Conduits_Condition!$B$2:$B$389)</f>
        <v>DI</v>
      </c>
      <c r="C265">
        <f ca="1">YEAR(TODAY())-_xlfn.XLOOKUP(A265,InstallDate!$B$2:$B$389,InstallDate!$BD$2:$BD$389)</f>
        <v>76</v>
      </c>
      <c r="D265">
        <f>Louisa_wConduits_Input_CSV!R265</f>
        <v>172.4636964</v>
      </c>
      <c r="E265">
        <f>Louisa_wConduits_Input_CSV!S265</f>
        <v>8</v>
      </c>
      <c r="F265">
        <f ca="1">_xlfn.XLOOKUP(A265,[1]LEYP_Input!A$2:A$389,[1]LEYP_Input!$C$2:$C$389)</f>
        <v>1</v>
      </c>
      <c r="G265">
        <f>Louisa_wConduits_Input_CSV!AZ265</f>
        <v>2</v>
      </c>
    </row>
    <row r="266" spans="1:7" x14ac:dyDescent="0.2">
      <c r="A266" t="str">
        <f>Louisa_wConduits_Input_CSV!B266</f>
        <v>P1317</v>
      </c>
      <c r="B266" t="str">
        <f>_xlfn.XLOOKUP(A266,[1]Conduits_Condition!$A$2:$A$389,[1]Conduits_Condition!$B$2:$B$389)</f>
        <v>DI</v>
      </c>
      <c r="C266">
        <f ca="1">YEAR(TODAY())-_xlfn.XLOOKUP(A266,InstallDate!$B$2:$B$389,InstallDate!$BD$2:$BD$389)</f>
        <v>76</v>
      </c>
      <c r="D266">
        <f>Louisa_wConduits_Input_CSV!R266</f>
        <v>135.56561360000001</v>
      </c>
      <c r="E266">
        <f>Louisa_wConduits_Input_CSV!S266</f>
        <v>6</v>
      </c>
      <c r="F266">
        <f ca="1">_xlfn.XLOOKUP(A266,[1]LEYP_Input!A$2:A$389,[1]LEYP_Input!$C$2:$C$389)</f>
        <v>1</v>
      </c>
      <c r="G266">
        <f>Louisa_wConduits_Input_CSV!AZ266</f>
        <v>1</v>
      </c>
    </row>
    <row r="267" spans="1:7" x14ac:dyDescent="0.2">
      <c r="A267" t="str">
        <f>Louisa_wConduits_Input_CSV!B267</f>
        <v>P1319</v>
      </c>
      <c r="B267" t="str">
        <f>_xlfn.XLOOKUP(A267,[1]Conduits_Condition!$A$2:$A$389,[1]Conduits_Condition!$B$2:$B$389)</f>
        <v>AC</v>
      </c>
      <c r="C267">
        <f ca="1">YEAR(TODAY())-_xlfn.XLOOKUP(A267,InstallDate!$B$2:$B$389,InstallDate!$BD$2:$BD$389)</f>
        <v>46</v>
      </c>
      <c r="D267">
        <f>Louisa_wConduits_Input_CSV!R267</f>
        <v>39.561407109999998</v>
      </c>
      <c r="E267">
        <f>Louisa_wConduits_Input_CSV!S267</f>
        <v>6</v>
      </c>
      <c r="F267">
        <f ca="1">_xlfn.XLOOKUP(A267,[1]LEYP_Input!A$2:A$389,[1]LEYP_Input!$C$2:$C$389)</f>
        <v>1</v>
      </c>
      <c r="G267">
        <f>Louisa_wConduits_Input_CSV!AZ267</f>
        <v>2</v>
      </c>
    </row>
    <row r="268" spans="1:7" x14ac:dyDescent="0.2">
      <c r="A268" t="str">
        <f>Louisa_wConduits_Input_CSV!B268</f>
        <v>P1321</v>
      </c>
      <c r="B268" t="str">
        <f>_xlfn.XLOOKUP(A268,[1]Conduits_Condition!$A$2:$A$389,[1]Conduits_Condition!$B$2:$B$389)</f>
        <v>AC</v>
      </c>
      <c r="C268">
        <f ca="1">YEAR(TODAY())-_xlfn.XLOOKUP(A268,InstallDate!$B$2:$B$389,InstallDate!$BD$2:$BD$389)</f>
        <v>26</v>
      </c>
      <c r="D268">
        <f>Louisa_wConduits_Input_CSV!R268</f>
        <v>373.1850341</v>
      </c>
      <c r="E268">
        <f>Louisa_wConduits_Input_CSV!S268</f>
        <v>6</v>
      </c>
      <c r="F268">
        <f ca="1">_xlfn.XLOOKUP(A268,[1]LEYP_Input!A$2:A$389,[1]LEYP_Input!$C$2:$C$389)</f>
        <v>2</v>
      </c>
      <c r="G268">
        <f>Louisa_wConduits_Input_CSV!AZ268</f>
        <v>1</v>
      </c>
    </row>
    <row r="269" spans="1:7" x14ac:dyDescent="0.2">
      <c r="A269" t="str">
        <f>Louisa_wConduits_Input_CSV!B269</f>
        <v>P1323</v>
      </c>
      <c r="B269" t="str">
        <f>_xlfn.XLOOKUP(A269,[1]Conduits_Condition!$A$2:$A$389,[1]Conduits_Condition!$B$2:$B$389)</f>
        <v>AC</v>
      </c>
      <c r="C269">
        <f ca="1">YEAR(TODAY())-_xlfn.XLOOKUP(A269,InstallDate!$B$2:$B$389,InstallDate!$BD$2:$BD$389)</f>
        <v>76</v>
      </c>
      <c r="D269">
        <f>Louisa_wConduits_Input_CSV!R269</f>
        <v>214.50755150000001</v>
      </c>
      <c r="E269">
        <f>Louisa_wConduits_Input_CSV!S269</f>
        <v>6</v>
      </c>
      <c r="F269">
        <f ca="1">_xlfn.XLOOKUP(A269,[1]LEYP_Input!A$2:A$389,[1]LEYP_Input!$C$2:$C$389)</f>
        <v>1</v>
      </c>
      <c r="G269">
        <f>Louisa_wConduits_Input_CSV!AZ269</f>
        <v>1</v>
      </c>
    </row>
    <row r="270" spans="1:7" x14ac:dyDescent="0.2">
      <c r="A270" t="str">
        <f>Louisa_wConduits_Input_CSV!B270</f>
        <v>P1325</v>
      </c>
      <c r="B270" t="str">
        <f>_xlfn.XLOOKUP(A270,[1]Conduits_Condition!$A$2:$A$389,[1]Conduits_Condition!$B$2:$B$389)</f>
        <v>AC</v>
      </c>
      <c r="C270">
        <f ca="1">YEAR(TODAY())-_xlfn.XLOOKUP(A270,InstallDate!$B$2:$B$389,InstallDate!$BD$2:$BD$389)</f>
        <v>26</v>
      </c>
      <c r="D270">
        <f>Louisa_wConduits_Input_CSV!R270</f>
        <v>493.64195910000001</v>
      </c>
      <c r="E270">
        <f>Louisa_wConduits_Input_CSV!S270</f>
        <v>6</v>
      </c>
      <c r="F270">
        <f ca="1">_xlfn.XLOOKUP(A270,[1]LEYP_Input!A$2:A$389,[1]LEYP_Input!$C$2:$C$389)</f>
        <v>2</v>
      </c>
      <c r="G270">
        <f>Louisa_wConduits_Input_CSV!AZ270</f>
        <v>1</v>
      </c>
    </row>
    <row r="271" spans="1:7" x14ac:dyDescent="0.2">
      <c r="A271" t="str">
        <f>Louisa_wConduits_Input_CSV!B271</f>
        <v>P1327</v>
      </c>
      <c r="B271" t="str">
        <f>_xlfn.XLOOKUP(A271,[1]Conduits_Condition!$A$2:$A$389,[1]Conduits_Condition!$B$2:$B$389)</f>
        <v>DI</v>
      </c>
      <c r="C271">
        <f ca="1">YEAR(TODAY())-_xlfn.XLOOKUP(A271,InstallDate!$B$2:$B$389,InstallDate!$BD$2:$BD$389)</f>
        <v>96</v>
      </c>
      <c r="D271">
        <f>Louisa_wConduits_Input_CSV!R271</f>
        <v>887.94721070000003</v>
      </c>
      <c r="E271">
        <f>Louisa_wConduits_Input_CSV!S271</f>
        <v>6</v>
      </c>
      <c r="F271">
        <f ca="1">_xlfn.XLOOKUP(A271,[1]LEYP_Input!A$2:A$389,[1]LEYP_Input!$C$2:$C$389)</f>
        <v>1</v>
      </c>
      <c r="G271">
        <f>Louisa_wConduits_Input_CSV!AZ271</f>
        <v>1</v>
      </c>
    </row>
    <row r="272" spans="1:7" x14ac:dyDescent="0.2">
      <c r="A272" t="str">
        <f>Louisa_wConduits_Input_CSV!B272</f>
        <v>P1329</v>
      </c>
      <c r="B272" t="str">
        <f>_xlfn.XLOOKUP(A272,[1]Conduits_Condition!$A$2:$A$389,[1]Conduits_Condition!$B$2:$B$389)</f>
        <v>DI</v>
      </c>
      <c r="C272">
        <f ca="1">YEAR(TODAY())-_xlfn.XLOOKUP(A272,InstallDate!$B$2:$B$389,InstallDate!$BD$2:$BD$389)</f>
        <v>76</v>
      </c>
      <c r="D272">
        <f>Louisa_wConduits_Input_CSV!R272</f>
        <v>58.095932589999997</v>
      </c>
      <c r="E272">
        <f>Louisa_wConduits_Input_CSV!S272</f>
        <v>6</v>
      </c>
      <c r="F272">
        <f ca="1">_xlfn.XLOOKUP(A272,[1]LEYP_Input!A$2:A$389,[1]LEYP_Input!$C$2:$C$389)</f>
        <v>1</v>
      </c>
      <c r="G272">
        <f>Louisa_wConduits_Input_CSV!AZ272</f>
        <v>1</v>
      </c>
    </row>
    <row r="273" spans="1:7" x14ac:dyDescent="0.2">
      <c r="A273" t="str">
        <f>Louisa_wConduits_Input_CSV!B273</f>
        <v>P1331</v>
      </c>
      <c r="B273" t="str">
        <f>_xlfn.XLOOKUP(A273,[1]Conduits_Condition!$A$2:$A$389,[1]Conduits_Condition!$B$2:$B$389)</f>
        <v>DI</v>
      </c>
      <c r="C273">
        <f ca="1">YEAR(TODAY())-_xlfn.XLOOKUP(A273,InstallDate!$B$2:$B$389,InstallDate!$BD$2:$BD$389)</f>
        <v>76</v>
      </c>
      <c r="D273">
        <f>Louisa_wConduits_Input_CSV!R273</f>
        <v>334.68279039999999</v>
      </c>
      <c r="E273">
        <f>Louisa_wConduits_Input_CSV!S273</f>
        <v>6</v>
      </c>
      <c r="F273">
        <f ca="1">_xlfn.XLOOKUP(A273,[1]LEYP_Input!A$2:A$389,[1]LEYP_Input!$C$2:$C$389)</f>
        <v>1</v>
      </c>
      <c r="G273">
        <f>Louisa_wConduits_Input_CSV!AZ273</f>
        <v>1</v>
      </c>
    </row>
    <row r="274" spans="1:7" x14ac:dyDescent="0.2">
      <c r="A274" t="str">
        <f>Louisa_wConduits_Input_CSV!B274</f>
        <v>P1333</v>
      </c>
      <c r="B274" t="str">
        <f>_xlfn.XLOOKUP(A274,[1]Conduits_Condition!$A$2:$A$389,[1]Conduits_Condition!$B$2:$B$389)</f>
        <v>DI</v>
      </c>
      <c r="C274">
        <f ca="1">YEAR(TODAY())-_xlfn.XLOOKUP(A274,InstallDate!$B$2:$B$389,InstallDate!$BD$2:$BD$389)</f>
        <v>96</v>
      </c>
      <c r="D274">
        <f>Louisa_wConduits_Input_CSV!R274</f>
        <v>129.4034125</v>
      </c>
      <c r="E274">
        <f>Louisa_wConduits_Input_CSV!S274</f>
        <v>6</v>
      </c>
      <c r="F274">
        <f ca="1">_xlfn.XLOOKUP(A274,[1]LEYP_Input!A$2:A$389,[1]LEYP_Input!$C$2:$C$389)</f>
        <v>1</v>
      </c>
      <c r="G274">
        <f>Louisa_wConduits_Input_CSV!AZ274</f>
        <v>1</v>
      </c>
    </row>
    <row r="275" spans="1:7" x14ac:dyDescent="0.2">
      <c r="A275" t="str">
        <f>Louisa_wConduits_Input_CSV!B275</f>
        <v>P1335</v>
      </c>
      <c r="B275" t="str">
        <f>_xlfn.XLOOKUP(A275,[1]Conduits_Condition!$A$2:$A$389,[1]Conduits_Condition!$B$2:$B$389)</f>
        <v>DI</v>
      </c>
      <c r="C275">
        <f ca="1">YEAR(TODAY())-_xlfn.XLOOKUP(A275,InstallDate!$B$2:$B$389,InstallDate!$BD$2:$BD$389)</f>
        <v>26</v>
      </c>
      <c r="D275">
        <f>Louisa_wConduits_Input_CSV!R275</f>
        <v>246.05344669999999</v>
      </c>
      <c r="E275">
        <f>Louisa_wConduits_Input_CSV!S275</f>
        <v>6</v>
      </c>
      <c r="F275">
        <f ca="1">_xlfn.XLOOKUP(A275,[1]LEYP_Input!A$2:A$389,[1]LEYP_Input!$C$2:$C$389)</f>
        <v>2</v>
      </c>
      <c r="G275">
        <f>Louisa_wConduits_Input_CSV!AZ275</f>
        <v>1</v>
      </c>
    </row>
    <row r="276" spans="1:7" x14ac:dyDescent="0.2">
      <c r="A276" t="str">
        <f>Louisa_wConduits_Input_CSV!B276</f>
        <v>P1337</v>
      </c>
      <c r="B276" t="str">
        <f>_xlfn.XLOOKUP(A276,[1]Conduits_Condition!$A$2:$A$389,[1]Conduits_Condition!$B$2:$B$389)</f>
        <v>DI</v>
      </c>
      <c r="C276">
        <f ca="1">YEAR(TODAY())-_xlfn.XLOOKUP(A276,InstallDate!$B$2:$B$389,InstallDate!$BD$2:$BD$389)</f>
        <v>26</v>
      </c>
      <c r="D276">
        <f>Louisa_wConduits_Input_CSV!R276</f>
        <v>920.03331579999997</v>
      </c>
      <c r="E276">
        <f>Louisa_wConduits_Input_CSV!S276</f>
        <v>6</v>
      </c>
      <c r="F276">
        <f ca="1">_xlfn.XLOOKUP(A276,[1]LEYP_Input!A$2:A$389,[1]LEYP_Input!$C$2:$C$389)</f>
        <v>2</v>
      </c>
      <c r="G276">
        <f>Louisa_wConduits_Input_CSV!AZ276</f>
        <v>1</v>
      </c>
    </row>
    <row r="277" spans="1:7" x14ac:dyDescent="0.2">
      <c r="A277" t="str">
        <f>Louisa_wConduits_Input_CSV!B277</f>
        <v>P1339</v>
      </c>
      <c r="B277" t="str">
        <f>_xlfn.XLOOKUP(A277,[1]Conduits_Condition!$A$2:$A$389,[1]Conduits_Condition!$B$2:$B$389)</f>
        <v>DI</v>
      </c>
      <c r="C277">
        <f ca="1">YEAR(TODAY())-_xlfn.XLOOKUP(A277,InstallDate!$B$2:$B$389,InstallDate!$BD$2:$BD$389)</f>
        <v>26</v>
      </c>
      <c r="D277">
        <f>Louisa_wConduits_Input_CSV!R277</f>
        <v>222.74998020000001</v>
      </c>
      <c r="E277">
        <f>Louisa_wConduits_Input_CSV!S277</f>
        <v>6</v>
      </c>
      <c r="F277">
        <f ca="1">_xlfn.XLOOKUP(A277,[1]LEYP_Input!A$2:A$389,[1]LEYP_Input!$C$2:$C$389)</f>
        <v>2</v>
      </c>
      <c r="G277">
        <f>Louisa_wConduits_Input_CSV!AZ277</f>
        <v>1</v>
      </c>
    </row>
    <row r="278" spans="1:7" x14ac:dyDescent="0.2">
      <c r="A278" t="str">
        <f>Louisa_wConduits_Input_CSV!B278</f>
        <v>P1341</v>
      </c>
      <c r="B278" t="str">
        <f>_xlfn.XLOOKUP(A278,[1]Conduits_Condition!$A$2:$A$389,[1]Conduits_Condition!$B$2:$B$389)</f>
        <v>DI</v>
      </c>
      <c r="C278">
        <f ca="1">YEAR(TODAY())-_xlfn.XLOOKUP(A278,InstallDate!$B$2:$B$389,InstallDate!$BD$2:$BD$389)</f>
        <v>26</v>
      </c>
      <c r="D278">
        <f>Louisa_wConduits_Input_CSV!R278</f>
        <v>507.56867110000002</v>
      </c>
      <c r="E278">
        <f>Louisa_wConduits_Input_CSV!S278</f>
        <v>6</v>
      </c>
      <c r="F278">
        <f ca="1">_xlfn.XLOOKUP(A278,[1]LEYP_Input!A$2:A$389,[1]LEYP_Input!$C$2:$C$389)</f>
        <v>2</v>
      </c>
      <c r="G278">
        <f>Louisa_wConduits_Input_CSV!AZ278</f>
        <v>2</v>
      </c>
    </row>
    <row r="279" spans="1:7" x14ac:dyDescent="0.2">
      <c r="A279" t="str">
        <f>Louisa_wConduits_Input_CSV!B279</f>
        <v>P1343</v>
      </c>
      <c r="B279" t="str">
        <f>_xlfn.XLOOKUP(A279,[1]Conduits_Condition!$A$2:$A$389,[1]Conduits_Condition!$B$2:$B$389)</f>
        <v>DI</v>
      </c>
      <c r="C279">
        <f ca="1">YEAR(TODAY())-_xlfn.XLOOKUP(A279,InstallDate!$B$2:$B$389,InstallDate!$BD$2:$BD$389)</f>
        <v>46</v>
      </c>
      <c r="D279">
        <f>Louisa_wConduits_Input_CSV!R279</f>
        <v>1378.99118</v>
      </c>
      <c r="E279">
        <f>Louisa_wConduits_Input_CSV!S279</f>
        <v>6</v>
      </c>
      <c r="F279">
        <f ca="1">_xlfn.XLOOKUP(A279,[1]LEYP_Input!A$2:A$389,[1]LEYP_Input!$C$2:$C$389)</f>
        <v>1</v>
      </c>
      <c r="G279">
        <f>Louisa_wConduits_Input_CSV!AZ279</f>
        <v>2</v>
      </c>
    </row>
    <row r="280" spans="1:7" x14ac:dyDescent="0.2">
      <c r="A280" t="str">
        <f>Louisa_wConduits_Input_CSV!B280</f>
        <v>P1345</v>
      </c>
      <c r="B280" t="str">
        <f>_xlfn.XLOOKUP(A280,[1]Conduits_Condition!$A$2:$A$389,[1]Conduits_Condition!$B$2:$B$389)</f>
        <v>DI</v>
      </c>
      <c r="C280">
        <f ca="1">YEAR(TODAY())-_xlfn.XLOOKUP(A280,InstallDate!$B$2:$B$389,InstallDate!$BD$2:$BD$389)</f>
        <v>46</v>
      </c>
      <c r="D280">
        <f>Louisa_wConduits_Input_CSV!R280</f>
        <v>822.00287509999998</v>
      </c>
      <c r="E280">
        <f>Louisa_wConduits_Input_CSV!S280</f>
        <v>6</v>
      </c>
      <c r="F280">
        <f ca="1">_xlfn.XLOOKUP(A280,[1]LEYP_Input!A$2:A$389,[1]LEYP_Input!$C$2:$C$389)</f>
        <v>1</v>
      </c>
      <c r="G280">
        <f>Louisa_wConduits_Input_CSV!AZ280</f>
        <v>2</v>
      </c>
    </row>
    <row r="281" spans="1:7" x14ac:dyDescent="0.2">
      <c r="A281" t="str">
        <f>Louisa_wConduits_Input_CSV!B281</f>
        <v>P1347</v>
      </c>
      <c r="B281" t="str">
        <f>_xlfn.XLOOKUP(A281,[1]Conduits_Condition!$A$2:$A$389,[1]Conduits_Condition!$B$2:$B$389)</f>
        <v>DI</v>
      </c>
      <c r="C281">
        <f ca="1">YEAR(TODAY())-_xlfn.XLOOKUP(A281,InstallDate!$B$2:$B$389,InstallDate!$BD$2:$BD$389)</f>
        <v>26</v>
      </c>
      <c r="D281">
        <f>Louisa_wConduits_Input_CSV!R281</f>
        <v>1363.41445</v>
      </c>
      <c r="E281">
        <f>Louisa_wConduits_Input_CSV!S281</f>
        <v>6</v>
      </c>
      <c r="F281">
        <f ca="1">_xlfn.XLOOKUP(A281,[1]LEYP_Input!A$2:A$389,[1]LEYP_Input!$C$2:$C$389)</f>
        <v>2</v>
      </c>
      <c r="G281">
        <f>Louisa_wConduits_Input_CSV!AZ281</f>
        <v>2</v>
      </c>
    </row>
    <row r="282" spans="1:7" x14ac:dyDescent="0.2">
      <c r="A282" t="str">
        <f>Louisa_wConduits_Input_CSV!B282</f>
        <v>P1349</v>
      </c>
      <c r="B282" t="str">
        <f>_xlfn.XLOOKUP(A282,[1]Conduits_Condition!$A$2:$A$389,[1]Conduits_Condition!$B$2:$B$389)</f>
        <v>DI</v>
      </c>
      <c r="C282">
        <f ca="1">YEAR(TODAY())-_xlfn.XLOOKUP(A282,InstallDate!$B$2:$B$389,InstallDate!$BD$2:$BD$389)</f>
        <v>76</v>
      </c>
      <c r="D282">
        <f>Louisa_wConduits_Input_CSV!R282</f>
        <v>36.233289040000003</v>
      </c>
      <c r="E282">
        <f>Louisa_wConduits_Input_CSV!S282</f>
        <v>6</v>
      </c>
      <c r="F282">
        <f ca="1">_xlfn.XLOOKUP(A282,[1]LEYP_Input!A$2:A$389,[1]LEYP_Input!$C$2:$C$389)</f>
        <v>1</v>
      </c>
      <c r="G282">
        <f>Louisa_wConduits_Input_CSV!AZ282</f>
        <v>2</v>
      </c>
    </row>
    <row r="283" spans="1:7" x14ac:dyDescent="0.2">
      <c r="A283" t="str">
        <f>Louisa_wConduits_Input_CSV!B283</f>
        <v>P1351</v>
      </c>
      <c r="B283" t="str">
        <f>_xlfn.XLOOKUP(A283,[1]Conduits_Condition!$A$2:$A$389,[1]Conduits_Condition!$B$2:$B$389)</f>
        <v>DI</v>
      </c>
      <c r="C283">
        <f ca="1">YEAR(TODAY())-_xlfn.XLOOKUP(A283,InstallDate!$B$2:$B$389,InstallDate!$BD$2:$BD$389)</f>
        <v>26</v>
      </c>
      <c r="D283">
        <f>Louisa_wConduits_Input_CSV!R283</f>
        <v>29.546343400000001</v>
      </c>
      <c r="E283">
        <f>Louisa_wConduits_Input_CSV!S283</f>
        <v>6</v>
      </c>
      <c r="F283">
        <f ca="1">_xlfn.XLOOKUP(A283,[1]LEYP_Input!A$2:A$389,[1]LEYP_Input!$C$2:$C$389)</f>
        <v>2</v>
      </c>
      <c r="G283">
        <f>Louisa_wConduits_Input_CSV!AZ283</f>
        <v>1</v>
      </c>
    </row>
    <row r="284" spans="1:7" x14ac:dyDescent="0.2">
      <c r="A284" t="str">
        <f>Louisa_wConduits_Input_CSV!B284</f>
        <v>P1353</v>
      </c>
      <c r="B284" t="str">
        <f>_xlfn.XLOOKUP(A284,[1]Conduits_Condition!$A$2:$A$389,[1]Conduits_Condition!$B$2:$B$389)</f>
        <v>DI</v>
      </c>
      <c r="C284">
        <f ca="1">YEAR(TODAY())-_xlfn.XLOOKUP(A284,InstallDate!$B$2:$B$389,InstallDate!$BD$2:$BD$389)</f>
        <v>26</v>
      </c>
      <c r="D284">
        <f>Louisa_wConduits_Input_CSV!R284</f>
        <v>1946.2538179999999</v>
      </c>
      <c r="E284">
        <f>Louisa_wConduits_Input_CSV!S284</f>
        <v>6</v>
      </c>
      <c r="F284">
        <f ca="1">_xlfn.XLOOKUP(A284,[1]LEYP_Input!A$2:A$389,[1]LEYP_Input!$C$2:$C$389)</f>
        <v>2</v>
      </c>
      <c r="G284">
        <f>Louisa_wConduits_Input_CSV!AZ284</f>
        <v>1</v>
      </c>
    </row>
    <row r="285" spans="1:7" x14ac:dyDescent="0.2">
      <c r="A285" t="str">
        <f>Louisa_wConduits_Input_CSV!B285</f>
        <v>P1355</v>
      </c>
      <c r="B285" t="str">
        <f>_xlfn.XLOOKUP(A285,[1]Conduits_Condition!$A$2:$A$389,[1]Conduits_Condition!$B$2:$B$389)</f>
        <v>DI</v>
      </c>
      <c r="C285">
        <f ca="1">YEAR(TODAY())-_xlfn.XLOOKUP(A285,InstallDate!$B$2:$B$389,InstallDate!$BD$2:$BD$389)</f>
        <v>26</v>
      </c>
      <c r="D285">
        <f>Louisa_wConduits_Input_CSV!R285</f>
        <v>1343.5361700000001</v>
      </c>
      <c r="E285">
        <f>Louisa_wConduits_Input_CSV!S285</f>
        <v>6</v>
      </c>
      <c r="F285">
        <f ca="1">_xlfn.XLOOKUP(A285,[1]LEYP_Input!A$2:A$389,[1]LEYP_Input!$C$2:$C$389)</f>
        <v>2</v>
      </c>
      <c r="G285">
        <f>Louisa_wConduits_Input_CSV!AZ285</f>
        <v>1</v>
      </c>
    </row>
    <row r="286" spans="1:7" x14ac:dyDescent="0.2">
      <c r="A286" t="str">
        <f>Louisa_wConduits_Input_CSV!B286</f>
        <v>P1357</v>
      </c>
      <c r="B286" t="str">
        <f>_xlfn.XLOOKUP(A286,[1]Conduits_Condition!$A$2:$A$389,[1]Conduits_Condition!$B$2:$B$389)</f>
        <v>DI</v>
      </c>
      <c r="C286">
        <f ca="1">YEAR(TODAY())-_xlfn.XLOOKUP(A286,InstallDate!$B$2:$B$389,InstallDate!$BD$2:$BD$389)</f>
        <v>26</v>
      </c>
      <c r="D286">
        <f>Louisa_wConduits_Input_CSV!R286</f>
        <v>751.36967809999999</v>
      </c>
      <c r="E286">
        <f>Louisa_wConduits_Input_CSV!S286</f>
        <v>6</v>
      </c>
      <c r="F286">
        <f ca="1">_xlfn.XLOOKUP(A286,[1]LEYP_Input!A$2:A$389,[1]LEYP_Input!$C$2:$C$389)</f>
        <v>2</v>
      </c>
      <c r="G286">
        <f>Louisa_wConduits_Input_CSV!AZ286</f>
        <v>1</v>
      </c>
    </row>
    <row r="287" spans="1:7" x14ac:dyDescent="0.2">
      <c r="A287" t="str">
        <f>Louisa_wConduits_Input_CSV!B287</f>
        <v>P1359</v>
      </c>
      <c r="B287" t="str">
        <f>_xlfn.XLOOKUP(A287,[1]Conduits_Condition!$A$2:$A$389,[1]Conduits_Condition!$B$2:$B$389)</f>
        <v>DI</v>
      </c>
      <c r="C287">
        <f ca="1">YEAR(TODAY())-_xlfn.XLOOKUP(A287,InstallDate!$B$2:$B$389,InstallDate!$BD$2:$BD$389)</f>
        <v>26</v>
      </c>
      <c r="D287">
        <f>Louisa_wConduits_Input_CSV!R287</f>
        <v>146.1729689</v>
      </c>
      <c r="E287">
        <f>Louisa_wConduits_Input_CSV!S287</f>
        <v>6</v>
      </c>
      <c r="F287">
        <f ca="1">_xlfn.XLOOKUP(A287,[1]LEYP_Input!A$2:A$389,[1]LEYP_Input!$C$2:$C$389)</f>
        <v>2</v>
      </c>
      <c r="G287">
        <f>Louisa_wConduits_Input_CSV!AZ287</f>
        <v>1</v>
      </c>
    </row>
    <row r="288" spans="1:7" x14ac:dyDescent="0.2">
      <c r="A288" t="str">
        <f>Louisa_wConduits_Input_CSV!B288</f>
        <v>P1361</v>
      </c>
      <c r="B288" t="str">
        <f>_xlfn.XLOOKUP(A288,[1]Conduits_Condition!$A$2:$A$389,[1]Conduits_Condition!$B$2:$B$389)</f>
        <v>DI</v>
      </c>
      <c r="C288">
        <f ca="1">YEAR(TODAY())-_xlfn.XLOOKUP(A288,InstallDate!$B$2:$B$389,InstallDate!$BD$2:$BD$389)</f>
        <v>26</v>
      </c>
      <c r="D288">
        <f>Louisa_wConduits_Input_CSV!R288</f>
        <v>1160.395835</v>
      </c>
      <c r="E288">
        <f>Louisa_wConduits_Input_CSV!S288</f>
        <v>6</v>
      </c>
      <c r="F288">
        <f ca="1">_xlfn.XLOOKUP(A288,[1]LEYP_Input!A$2:A$389,[1]LEYP_Input!$C$2:$C$389)</f>
        <v>2</v>
      </c>
      <c r="G288">
        <f>Louisa_wConduits_Input_CSV!AZ288</f>
        <v>1</v>
      </c>
    </row>
    <row r="289" spans="1:7" x14ac:dyDescent="0.2">
      <c r="A289" t="str">
        <f>Louisa_wConduits_Input_CSV!B289</f>
        <v>P1363</v>
      </c>
      <c r="B289" t="str">
        <f>_xlfn.XLOOKUP(A289,[1]Conduits_Condition!$A$2:$A$389,[1]Conduits_Condition!$B$2:$B$389)</f>
        <v>DI</v>
      </c>
      <c r="C289">
        <f ca="1">YEAR(TODAY())-_xlfn.XLOOKUP(A289,InstallDate!$B$2:$B$389,InstallDate!$BD$2:$BD$389)</f>
        <v>26</v>
      </c>
      <c r="D289">
        <f>Louisa_wConduits_Input_CSV!R289</f>
        <v>143.00009879999999</v>
      </c>
      <c r="E289">
        <f>Louisa_wConduits_Input_CSV!S289</f>
        <v>6</v>
      </c>
      <c r="F289">
        <f ca="1">_xlfn.XLOOKUP(A289,[1]LEYP_Input!A$2:A$389,[1]LEYP_Input!$C$2:$C$389)</f>
        <v>2</v>
      </c>
      <c r="G289">
        <f>Louisa_wConduits_Input_CSV!AZ289</f>
        <v>1</v>
      </c>
    </row>
    <row r="290" spans="1:7" x14ac:dyDescent="0.2">
      <c r="A290" t="str">
        <f>Louisa_wConduits_Input_CSV!B290</f>
        <v>P1365</v>
      </c>
      <c r="B290" t="str">
        <f>_xlfn.XLOOKUP(A290,[1]Conduits_Condition!$A$2:$A$389,[1]Conduits_Condition!$B$2:$B$389)</f>
        <v>DI</v>
      </c>
      <c r="C290">
        <f ca="1">YEAR(TODAY())-_xlfn.XLOOKUP(A290,InstallDate!$B$2:$B$389,InstallDate!$BD$2:$BD$389)</f>
        <v>26</v>
      </c>
      <c r="D290">
        <f>Louisa_wConduits_Input_CSV!R290</f>
        <v>103.751345</v>
      </c>
      <c r="E290">
        <f>Louisa_wConduits_Input_CSV!S290</f>
        <v>6</v>
      </c>
      <c r="F290">
        <f ca="1">_xlfn.XLOOKUP(A290,[1]LEYP_Input!A$2:A$389,[1]LEYP_Input!$C$2:$C$389)</f>
        <v>2</v>
      </c>
      <c r="G290">
        <f>Louisa_wConduits_Input_CSV!AZ290</f>
        <v>1</v>
      </c>
    </row>
    <row r="291" spans="1:7" x14ac:dyDescent="0.2">
      <c r="A291" t="str">
        <f>Louisa_wConduits_Input_CSV!B291</f>
        <v>P1367</v>
      </c>
      <c r="B291" t="str">
        <f>_xlfn.XLOOKUP(A291,[1]Conduits_Condition!$A$2:$A$389,[1]Conduits_Condition!$B$2:$B$389)</f>
        <v>DI</v>
      </c>
      <c r="C291">
        <f ca="1">YEAR(TODAY())-_xlfn.XLOOKUP(A291,InstallDate!$B$2:$B$389,InstallDate!$BD$2:$BD$389)</f>
        <v>26</v>
      </c>
      <c r="D291">
        <f>Louisa_wConduits_Input_CSV!R291</f>
        <v>404.66816799999998</v>
      </c>
      <c r="E291">
        <f>Louisa_wConduits_Input_CSV!S291</f>
        <v>6</v>
      </c>
      <c r="F291">
        <f ca="1">_xlfn.XLOOKUP(A291,[1]LEYP_Input!A$2:A$389,[1]LEYP_Input!$C$2:$C$389)</f>
        <v>2</v>
      </c>
      <c r="G291">
        <f>Louisa_wConduits_Input_CSV!AZ291</f>
        <v>1</v>
      </c>
    </row>
    <row r="292" spans="1:7" x14ac:dyDescent="0.2">
      <c r="A292" t="str">
        <f>Louisa_wConduits_Input_CSV!B292</f>
        <v>P1369</v>
      </c>
      <c r="B292" t="str">
        <f>_xlfn.XLOOKUP(A292,[1]Conduits_Condition!$A$2:$A$389,[1]Conduits_Condition!$B$2:$B$389)</f>
        <v>DI</v>
      </c>
      <c r="C292">
        <f ca="1">YEAR(TODAY())-_xlfn.XLOOKUP(A292,InstallDate!$B$2:$B$389,InstallDate!$BD$2:$BD$389)</f>
        <v>76</v>
      </c>
      <c r="D292">
        <f>Louisa_wConduits_Input_CSV!R292</f>
        <v>206.10745349999999</v>
      </c>
      <c r="E292">
        <f>Louisa_wConduits_Input_CSV!S292</f>
        <v>6</v>
      </c>
      <c r="F292">
        <f ca="1">_xlfn.XLOOKUP(A292,[1]LEYP_Input!A$2:A$389,[1]LEYP_Input!$C$2:$C$389)</f>
        <v>1</v>
      </c>
      <c r="G292">
        <f>Louisa_wConduits_Input_CSV!AZ292</f>
        <v>2</v>
      </c>
    </row>
    <row r="293" spans="1:7" x14ac:dyDescent="0.2">
      <c r="A293" t="str">
        <f>Louisa_wConduits_Input_CSV!B293</f>
        <v>P1371</v>
      </c>
      <c r="B293" t="str">
        <f>_xlfn.XLOOKUP(A293,[1]Conduits_Condition!$A$2:$A$389,[1]Conduits_Condition!$B$2:$B$389)</f>
        <v>DI</v>
      </c>
      <c r="C293">
        <f ca="1">YEAR(TODAY())-_xlfn.XLOOKUP(A293,InstallDate!$B$2:$B$389,InstallDate!$BD$2:$BD$389)</f>
        <v>76</v>
      </c>
      <c r="D293">
        <f>Louisa_wConduits_Input_CSV!R293</f>
        <v>37.917390390000001</v>
      </c>
      <c r="E293">
        <f>Louisa_wConduits_Input_CSV!S293</f>
        <v>6</v>
      </c>
      <c r="F293">
        <f ca="1">_xlfn.XLOOKUP(A293,[1]LEYP_Input!A$2:A$389,[1]LEYP_Input!$C$2:$C$389)</f>
        <v>1</v>
      </c>
      <c r="G293">
        <f>Louisa_wConduits_Input_CSV!AZ293</f>
        <v>2</v>
      </c>
    </row>
    <row r="294" spans="1:7" x14ac:dyDescent="0.2">
      <c r="A294" t="str">
        <f>Louisa_wConduits_Input_CSV!B294</f>
        <v>P1373</v>
      </c>
      <c r="B294" t="str">
        <f>_xlfn.XLOOKUP(A294,[1]Conduits_Condition!$A$2:$A$389,[1]Conduits_Condition!$B$2:$B$389)</f>
        <v>DI</v>
      </c>
      <c r="C294">
        <f ca="1">YEAR(TODAY())-_xlfn.XLOOKUP(A294,InstallDate!$B$2:$B$389,InstallDate!$BD$2:$BD$389)</f>
        <v>76</v>
      </c>
      <c r="D294">
        <f>Louisa_wConduits_Input_CSV!R294</f>
        <v>163.4971707</v>
      </c>
      <c r="E294">
        <f>Louisa_wConduits_Input_CSV!S294</f>
        <v>6</v>
      </c>
      <c r="F294">
        <f ca="1">_xlfn.XLOOKUP(A294,[1]LEYP_Input!A$2:A$389,[1]LEYP_Input!$C$2:$C$389)</f>
        <v>1</v>
      </c>
      <c r="G294">
        <f>Louisa_wConduits_Input_CSV!AZ294</f>
        <v>2</v>
      </c>
    </row>
    <row r="295" spans="1:7" x14ac:dyDescent="0.2">
      <c r="A295" t="str">
        <f>Louisa_wConduits_Input_CSV!B295</f>
        <v>P1375</v>
      </c>
      <c r="B295" t="str">
        <f>_xlfn.XLOOKUP(A295,[1]Conduits_Condition!$A$2:$A$389,[1]Conduits_Condition!$B$2:$B$389)</f>
        <v>DI</v>
      </c>
      <c r="C295">
        <f ca="1">YEAR(TODAY())-_xlfn.XLOOKUP(A295,InstallDate!$B$2:$B$389,InstallDate!$BD$2:$BD$389)</f>
        <v>76</v>
      </c>
      <c r="D295">
        <f>Louisa_wConduits_Input_CSV!R295</f>
        <v>161.68618369999999</v>
      </c>
      <c r="E295">
        <f>Louisa_wConduits_Input_CSV!S295</f>
        <v>6</v>
      </c>
      <c r="F295">
        <f ca="1">_xlfn.XLOOKUP(A295,[1]LEYP_Input!A$2:A$389,[1]LEYP_Input!$C$2:$C$389)</f>
        <v>1</v>
      </c>
      <c r="G295">
        <f>Louisa_wConduits_Input_CSV!AZ295</f>
        <v>2</v>
      </c>
    </row>
    <row r="296" spans="1:7" x14ac:dyDescent="0.2">
      <c r="A296" t="str">
        <f>Louisa_wConduits_Input_CSV!B296</f>
        <v>P1377</v>
      </c>
      <c r="B296" t="str">
        <f>_xlfn.XLOOKUP(A296,[1]Conduits_Condition!$A$2:$A$389,[1]Conduits_Condition!$B$2:$B$389)</f>
        <v>DI</v>
      </c>
      <c r="C296">
        <f ca="1">YEAR(TODAY())-_xlfn.XLOOKUP(A296,InstallDate!$B$2:$B$389,InstallDate!$BD$2:$BD$389)</f>
        <v>46</v>
      </c>
      <c r="D296">
        <f>Louisa_wConduits_Input_CSV!R296</f>
        <v>927.21190549999994</v>
      </c>
      <c r="E296">
        <f>Louisa_wConduits_Input_CSV!S296</f>
        <v>6</v>
      </c>
      <c r="F296">
        <f ca="1">_xlfn.XLOOKUP(A296,[1]LEYP_Input!A$2:A$389,[1]LEYP_Input!$C$2:$C$389)</f>
        <v>1</v>
      </c>
      <c r="G296">
        <f>Louisa_wConduits_Input_CSV!AZ296</f>
        <v>2</v>
      </c>
    </row>
    <row r="297" spans="1:7" x14ac:dyDescent="0.2">
      <c r="A297" t="str">
        <f>Louisa_wConduits_Input_CSV!B297</f>
        <v>P1379</v>
      </c>
      <c r="B297" t="str">
        <f>_xlfn.XLOOKUP(A297,[1]Conduits_Condition!$A$2:$A$389,[1]Conduits_Condition!$B$2:$B$389)</f>
        <v>DI</v>
      </c>
      <c r="C297">
        <f ca="1">YEAR(TODAY())-_xlfn.XLOOKUP(A297,InstallDate!$B$2:$B$389,InstallDate!$BD$2:$BD$389)</f>
        <v>26</v>
      </c>
      <c r="D297">
        <f>Louisa_wConduits_Input_CSV!R297</f>
        <v>17.547204069999999</v>
      </c>
      <c r="E297">
        <f>Louisa_wConduits_Input_CSV!S297</f>
        <v>6</v>
      </c>
      <c r="F297">
        <f ca="1">_xlfn.XLOOKUP(A297,[1]LEYP_Input!A$2:A$389,[1]LEYP_Input!$C$2:$C$389)</f>
        <v>2</v>
      </c>
      <c r="G297">
        <f>Louisa_wConduits_Input_CSV!AZ297</f>
        <v>2</v>
      </c>
    </row>
    <row r="298" spans="1:7" x14ac:dyDescent="0.2">
      <c r="A298" t="str">
        <f>Louisa_wConduits_Input_CSV!B298</f>
        <v>P1381</v>
      </c>
      <c r="B298" t="str">
        <f>_xlfn.XLOOKUP(A298,[1]Conduits_Condition!$A$2:$A$389,[1]Conduits_Condition!$B$2:$B$389)</f>
        <v>DI</v>
      </c>
      <c r="C298">
        <f ca="1">YEAR(TODAY())-_xlfn.XLOOKUP(A298,InstallDate!$B$2:$B$389,InstallDate!$BD$2:$BD$389)</f>
        <v>26</v>
      </c>
      <c r="D298">
        <f>Louisa_wConduits_Input_CSV!R298</f>
        <v>194.2323653</v>
      </c>
      <c r="E298">
        <f>Louisa_wConduits_Input_CSV!S298</f>
        <v>6</v>
      </c>
      <c r="F298">
        <f ca="1">_xlfn.XLOOKUP(A298,[1]LEYP_Input!A$2:A$389,[1]LEYP_Input!$C$2:$C$389)</f>
        <v>2</v>
      </c>
      <c r="G298">
        <f>Louisa_wConduits_Input_CSV!AZ298</f>
        <v>2</v>
      </c>
    </row>
    <row r="299" spans="1:7" x14ac:dyDescent="0.2">
      <c r="A299" t="str">
        <f>Louisa_wConduits_Input_CSV!B299</f>
        <v>P1383</v>
      </c>
      <c r="B299" t="str">
        <f>_xlfn.XLOOKUP(A299,[1]Conduits_Condition!$A$2:$A$389,[1]Conduits_Condition!$B$2:$B$389)</f>
        <v>DI</v>
      </c>
      <c r="C299">
        <f ca="1">YEAR(TODAY())-_xlfn.XLOOKUP(A299,InstallDate!$B$2:$B$389,InstallDate!$BD$2:$BD$389)</f>
        <v>26</v>
      </c>
      <c r="D299">
        <f>Louisa_wConduits_Input_CSV!R299</f>
        <v>36.315487099999999</v>
      </c>
      <c r="E299">
        <f>Louisa_wConduits_Input_CSV!S299</f>
        <v>6</v>
      </c>
      <c r="F299">
        <f ca="1">_xlfn.XLOOKUP(A299,[1]LEYP_Input!A$2:A$389,[1]LEYP_Input!$C$2:$C$389)</f>
        <v>2</v>
      </c>
      <c r="G299">
        <f>Louisa_wConduits_Input_CSV!AZ299</f>
        <v>2</v>
      </c>
    </row>
    <row r="300" spans="1:7" x14ac:dyDescent="0.2">
      <c r="A300" t="str">
        <f>Louisa_wConduits_Input_CSV!B300</f>
        <v>P1385</v>
      </c>
      <c r="B300" t="str">
        <f>_xlfn.XLOOKUP(A300,[1]Conduits_Condition!$A$2:$A$389,[1]Conduits_Condition!$B$2:$B$389)</f>
        <v>DI</v>
      </c>
      <c r="C300">
        <f ca="1">YEAR(TODAY())-_xlfn.XLOOKUP(A300,InstallDate!$B$2:$B$389,InstallDate!$BD$2:$BD$389)</f>
        <v>26</v>
      </c>
      <c r="D300">
        <f>Louisa_wConduits_Input_CSV!R300</f>
        <v>172.9250485</v>
      </c>
      <c r="E300">
        <f>Louisa_wConduits_Input_CSV!S300</f>
        <v>6</v>
      </c>
      <c r="F300">
        <f ca="1">_xlfn.XLOOKUP(A300,[1]LEYP_Input!A$2:A$389,[1]LEYP_Input!$C$2:$C$389)</f>
        <v>2</v>
      </c>
      <c r="G300">
        <f>Louisa_wConduits_Input_CSV!AZ300</f>
        <v>2</v>
      </c>
    </row>
    <row r="301" spans="1:7" x14ac:dyDescent="0.2">
      <c r="A301" t="str">
        <f>Louisa_wConduits_Input_CSV!B301</f>
        <v>P1387</v>
      </c>
      <c r="B301" t="str">
        <f>_xlfn.XLOOKUP(A301,[1]Conduits_Condition!$A$2:$A$389,[1]Conduits_Condition!$B$2:$B$389)</f>
        <v>DI</v>
      </c>
      <c r="C301">
        <f ca="1">YEAR(TODAY())-_xlfn.XLOOKUP(A301,InstallDate!$B$2:$B$389,InstallDate!$BD$2:$BD$389)</f>
        <v>26</v>
      </c>
      <c r="D301">
        <f>Louisa_wConduits_Input_CSV!R301</f>
        <v>22.914202639999999</v>
      </c>
      <c r="E301">
        <f>Louisa_wConduits_Input_CSV!S301</f>
        <v>6</v>
      </c>
      <c r="F301">
        <f ca="1">_xlfn.XLOOKUP(A301,[1]LEYP_Input!A$2:A$389,[1]LEYP_Input!$C$2:$C$389)</f>
        <v>2</v>
      </c>
      <c r="G301">
        <f>Louisa_wConduits_Input_CSV!AZ301</f>
        <v>2</v>
      </c>
    </row>
    <row r="302" spans="1:7" x14ac:dyDescent="0.2">
      <c r="A302" t="str">
        <f>Louisa_wConduits_Input_CSV!B302</f>
        <v>P1389</v>
      </c>
      <c r="B302" t="str">
        <f>_xlfn.XLOOKUP(A302,[1]Conduits_Condition!$A$2:$A$389,[1]Conduits_Condition!$B$2:$B$389)</f>
        <v>DI</v>
      </c>
      <c r="C302">
        <f ca="1">YEAR(TODAY())-_xlfn.XLOOKUP(A302,InstallDate!$B$2:$B$389,InstallDate!$BD$2:$BD$389)</f>
        <v>26</v>
      </c>
      <c r="D302">
        <f>Louisa_wConduits_Input_CSV!R302</f>
        <v>188.75074069999999</v>
      </c>
      <c r="E302">
        <f>Louisa_wConduits_Input_CSV!S302</f>
        <v>6</v>
      </c>
      <c r="F302">
        <f ca="1">_xlfn.XLOOKUP(A302,[1]LEYP_Input!A$2:A$389,[1]LEYP_Input!$C$2:$C$389)</f>
        <v>2</v>
      </c>
      <c r="G302">
        <f>Louisa_wConduits_Input_CSV!AZ302</f>
        <v>2</v>
      </c>
    </row>
    <row r="303" spans="1:7" x14ac:dyDescent="0.2">
      <c r="A303" t="str">
        <f>Louisa_wConduits_Input_CSV!B303</f>
        <v>P1391</v>
      </c>
      <c r="B303" t="str">
        <f>_xlfn.XLOOKUP(A303,[1]Conduits_Condition!$A$2:$A$389,[1]Conduits_Condition!$B$2:$B$389)</f>
        <v>DI</v>
      </c>
      <c r="C303">
        <f ca="1">YEAR(TODAY())-_xlfn.XLOOKUP(A303,InstallDate!$B$2:$B$389,InstallDate!$BD$2:$BD$389)</f>
        <v>26</v>
      </c>
      <c r="D303">
        <f>Louisa_wConduits_Input_CSV!R303</f>
        <v>889.72150580000005</v>
      </c>
      <c r="E303">
        <f>Louisa_wConduits_Input_CSV!S303</f>
        <v>6</v>
      </c>
      <c r="F303">
        <f ca="1">_xlfn.XLOOKUP(A303,[1]LEYP_Input!A$2:A$389,[1]LEYP_Input!$C$2:$C$389)</f>
        <v>2</v>
      </c>
      <c r="G303">
        <f>Louisa_wConduits_Input_CSV!AZ303</f>
        <v>1</v>
      </c>
    </row>
    <row r="304" spans="1:7" x14ac:dyDescent="0.2">
      <c r="A304" t="str">
        <f>Louisa_wConduits_Input_CSV!B304</f>
        <v>P1393</v>
      </c>
      <c r="B304" t="str">
        <f>_xlfn.XLOOKUP(A304,[1]Conduits_Condition!$A$2:$A$389,[1]Conduits_Condition!$B$2:$B$389)</f>
        <v>DI</v>
      </c>
      <c r="C304">
        <f ca="1">YEAR(TODAY())-_xlfn.XLOOKUP(A304,InstallDate!$B$2:$B$389,InstallDate!$BD$2:$BD$389)</f>
        <v>26</v>
      </c>
      <c r="D304">
        <f>Louisa_wConduits_Input_CSV!R304</f>
        <v>37.876470670000003</v>
      </c>
      <c r="E304">
        <f>Louisa_wConduits_Input_CSV!S304</f>
        <v>6</v>
      </c>
      <c r="F304">
        <f ca="1">_xlfn.XLOOKUP(A304,[1]LEYP_Input!A$2:A$389,[1]LEYP_Input!$C$2:$C$389)</f>
        <v>2</v>
      </c>
      <c r="G304">
        <f>Louisa_wConduits_Input_CSV!AZ304</f>
        <v>2</v>
      </c>
    </row>
    <row r="305" spans="1:7" x14ac:dyDescent="0.2">
      <c r="A305" t="str">
        <f>Louisa_wConduits_Input_CSV!B305</f>
        <v>P1395</v>
      </c>
      <c r="B305" t="str">
        <f>_xlfn.XLOOKUP(A305,[1]Conduits_Condition!$A$2:$A$389,[1]Conduits_Condition!$B$2:$B$389)</f>
        <v>DI</v>
      </c>
      <c r="C305">
        <f ca="1">YEAR(TODAY())-_xlfn.XLOOKUP(A305,InstallDate!$B$2:$B$389,InstallDate!$BD$2:$BD$389)</f>
        <v>26</v>
      </c>
      <c r="D305">
        <f>Louisa_wConduits_Input_CSV!R305</f>
        <v>910.85666160000005</v>
      </c>
      <c r="E305">
        <f>Louisa_wConduits_Input_CSV!S305</f>
        <v>6</v>
      </c>
      <c r="F305">
        <f ca="1">_xlfn.XLOOKUP(A305,[1]LEYP_Input!A$2:A$389,[1]LEYP_Input!$C$2:$C$389)</f>
        <v>2</v>
      </c>
      <c r="G305">
        <f>Louisa_wConduits_Input_CSV!AZ305</f>
        <v>2</v>
      </c>
    </row>
    <row r="306" spans="1:7" x14ac:dyDescent="0.2">
      <c r="A306" t="str">
        <f>Louisa_wConduits_Input_CSV!B306</f>
        <v>P1397</v>
      </c>
      <c r="B306" t="str">
        <f>_xlfn.XLOOKUP(A306,[1]Conduits_Condition!$A$2:$A$389,[1]Conduits_Condition!$B$2:$B$389)</f>
        <v>DI</v>
      </c>
      <c r="C306">
        <f ca="1">YEAR(TODAY())-_xlfn.XLOOKUP(A306,InstallDate!$B$2:$B$389,InstallDate!$BD$2:$BD$389)</f>
        <v>26</v>
      </c>
      <c r="D306">
        <f>Louisa_wConduits_Input_CSV!R306</f>
        <v>496.55818010000002</v>
      </c>
      <c r="E306">
        <f>Louisa_wConduits_Input_CSV!S306</f>
        <v>6</v>
      </c>
      <c r="F306">
        <f ca="1">_xlfn.XLOOKUP(A306,[1]LEYP_Input!A$2:A$389,[1]LEYP_Input!$C$2:$C$389)</f>
        <v>2</v>
      </c>
      <c r="G306">
        <f>Louisa_wConduits_Input_CSV!AZ306</f>
        <v>2</v>
      </c>
    </row>
    <row r="307" spans="1:7" x14ac:dyDescent="0.2">
      <c r="A307" t="str">
        <f>Louisa_wConduits_Input_CSV!B307</f>
        <v>P1399</v>
      </c>
      <c r="B307" t="str">
        <f>_xlfn.XLOOKUP(A307,[1]Conduits_Condition!$A$2:$A$389,[1]Conduits_Condition!$B$2:$B$389)</f>
        <v>DI</v>
      </c>
      <c r="C307">
        <f ca="1">YEAR(TODAY())-_xlfn.XLOOKUP(A307,InstallDate!$B$2:$B$389,InstallDate!$BD$2:$BD$389)</f>
        <v>46</v>
      </c>
      <c r="D307">
        <f>Louisa_wConduits_Input_CSV!R307</f>
        <v>24.592810660000001</v>
      </c>
      <c r="E307">
        <f>Louisa_wConduits_Input_CSV!S307</f>
        <v>6</v>
      </c>
      <c r="F307">
        <f ca="1">_xlfn.XLOOKUP(A307,[1]LEYP_Input!A$2:A$389,[1]LEYP_Input!$C$2:$C$389)</f>
        <v>1</v>
      </c>
      <c r="G307">
        <f>Louisa_wConduits_Input_CSV!AZ307</f>
        <v>2</v>
      </c>
    </row>
    <row r="308" spans="1:7" x14ac:dyDescent="0.2">
      <c r="A308" t="str">
        <f>Louisa_wConduits_Input_CSV!B308</f>
        <v>P1401</v>
      </c>
      <c r="B308" t="str">
        <f>_xlfn.XLOOKUP(A308,[1]Conduits_Condition!$A$2:$A$389,[1]Conduits_Condition!$B$2:$B$389)</f>
        <v>DI</v>
      </c>
      <c r="C308">
        <f ca="1">YEAR(TODAY())-_xlfn.XLOOKUP(A308,InstallDate!$B$2:$B$389,InstallDate!$BD$2:$BD$389)</f>
        <v>26</v>
      </c>
      <c r="D308">
        <f>Louisa_wConduits_Input_CSV!R308</f>
        <v>34.098851430000003</v>
      </c>
      <c r="E308">
        <f>Louisa_wConduits_Input_CSV!S308</f>
        <v>6</v>
      </c>
      <c r="F308">
        <f ca="1">_xlfn.XLOOKUP(A308,[1]LEYP_Input!A$2:A$389,[1]LEYP_Input!$C$2:$C$389)</f>
        <v>2</v>
      </c>
      <c r="G308">
        <f>Louisa_wConduits_Input_CSV!AZ308</f>
        <v>2</v>
      </c>
    </row>
    <row r="309" spans="1:7" x14ac:dyDescent="0.2">
      <c r="A309" t="str">
        <f>Louisa_wConduits_Input_CSV!B309</f>
        <v>P1403</v>
      </c>
      <c r="B309" t="str">
        <f>_xlfn.XLOOKUP(A309,[1]Conduits_Condition!$A$2:$A$389,[1]Conduits_Condition!$B$2:$B$389)</f>
        <v>DI</v>
      </c>
      <c r="C309">
        <f ca="1">YEAR(TODAY())-_xlfn.XLOOKUP(A309,InstallDate!$B$2:$B$389,InstallDate!$BD$2:$BD$389)</f>
        <v>26</v>
      </c>
      <c r="D309">
        <f>Louisa_wConduits_Input_CSV!R309</f>
        <v>737.60058760000004</v>
      </c>
      <c r="E309">
        <f>Louisa_wConduits_Input_CSV!S309</f>
        <v>6</v>
      </c>
      <c r="F309">
        <f ca="1">_xlfn.XLOOKUP(A309,[1]LEYP_Input!A$2:A$389,[1]LEYP_Input!$C$2:$C$389)</f>
        <v>2</v>
      </c>
      <c r="G309">
        <f>Louisa_wConduits_Input_CSV!AZ309</f>
        <v>1</v>
      </c>
    </row>
    <row r="310" spans="1:7" x14ac:dyDescent="0.2">
      <c r="A310" t="str">
        <f>Louisa_wConduits_Input_CSV!B310</f>
        <v>P1405</v>
      </c>
      <c r="B310" t="str">
        <f>_xlfn.XLOOKUP(A310,[1]Conduits_Condition!$A$2:$A$389,[1]Conduits_Condition!$B$2:$B$389)</f>
        <v>DI</v>
      </c>
      <c r="C310">
        <f ca="1">YEAR(TODAY())-_xlfn.XLOOKUP(A310,InstallDate!$B$2:$B$389,InstallDate!$BD$2:$BD$389)</f>
        <v>26</v>
      </c>
      <c r="D310">
        <f>Louisa_wConduits_Input_CSV!R310</f>
        <v>11.06622537</v>
      </c>
      <c r="E310">
        <f>Louisa_wConduits_Input_CSV!S310</f>
        <v>6</v>
      </c>
      <c r="F310">
        <f ca="1">_xlfn.XLOOKUP(A310,[1]LEYP_Input!A$2:A$389,[1]LEYP_Input!$C$2:$C$389)</f>
        <v>2</v>
      </c>
      <c r="G310">
        <f>Louisa_wConduits_Input_CSV!AZ310</f>
        <v>1</v>
      </c>
    </row>
    <row r="311" spans="1:7" x14ac:dyDescent="0.2">
      <c r="A311" t="str">
        <f>Louisa_wConduits_Input_CSV!B311</f>
        <v>P1407</v>
      </c>
      <c r="B311" t="str">
        <f>_xlfn.XLOOKUP(A311,[1]Conduits_Condition!$A$2:$A$389,[1]Conduits_Condition!$B$2:$B$389)</f>
        <v>DI</v>
      </c>
      <c r="C311">
        <f ca="1">YEAR(TODAY())-_xlfn.XLOOKUP(A311,InstallDate!$B$2:$B$389,InstallDate!$BD$2:$BD$389)</f>
        <v>26</v>
      </c>
      <c r="D311">
        <f>Louisa_wConduits_Input_CSV!R311</f>
        <v>9.1854248619999996</v>
      </c>
      <c r="E311">
        <f>Louisa_wConduits_Input_CSV!S311</f>
        <v>6</v>
      </c>
      <c r="F311">
        <f ca="1">_xlfn.XLOOKUP(A311,[1]LEYP_Input!A$2:A$389,[1]LEYP_Input!$C$2:$C$389)</f>
        <v>2</v>
      </c>
      <c r="G311">
        <f>Louisa_wConduits_Input_CSV!AZ311</f>
        <v>1</v>
      </c>
    </row>
    <row r="312" spans="1:7" x14ac:dyDescent="0.2">
      <c r="A312" t="str">
        <f>Louisa_wConduits_Input_CSV!B312</f>
        <v>P1409</v>
      </c>
      <c r="B312" t="str">
        <f>_xlfn.XLOOKUP(A312,[1]Conduits_Condition!$A$2:$A$389,[1]Conduits_Condition!$B$2:$B$389)</f>
        <v>DI</v>
      </c>
      <c r="C312">
        <f ca="1">YEAR(TODAY())-_xlfn.XLOOKUP(A312,InstallDate!$B$2:$B$389,InstallDate!$BD$2:$BD$389)</f>
        <v>26</v>
      </c>
      <c r="D312">
        <f>Louisa_wConduits_Input_CSV!R312</f>
        <v>15.088027070000001</v>
      </c>
      <c r="E312">
        <f>Louisa_wConduits_Input_CSV!S312</f>
        <v>6</v>
      </c>
      <c r="F312">
        <f ca="1">_xlfn.XLOOKUP(A312,[1]LEYP_Input!A$2:A$389,[1]LEYP_Input!$C$2:$C$389)</f>
        <v>2</v>
      </c>
      <c r="G312">
        <f>Louisa_wConduits_Input_CSV!AZ312</f>
        <v>1</v>
      </c>
    </row>
    <row r="313" spans="1:7" x14ac:dyDescent="0.2">
      <c r="A313" t="str">
        <f>Louisa_wConduits_Input_CSV!B313</f>
        <v>P1411</v>
      </c>
      <c r="B313" t="str">
        <f>_xlfn.XLOOKUP(A313,[1]Conduits_Condition!$A$2:$A$389,[1]Conduits_Condition!$B$2:$B$389)</f>
        <v>DI</v>
      </c>
      <c r="C313">
        <f ca="1">YEAR(TODAY())-_xlfn.XLOOKUP(A313,InstallDate!$B$2:$B$389,InstallDate!$BD$2:$BD$389)</f>
        <v>26</v>
      </c>
      <c r="D313">
        <f>Louisa_wConduits_Input_CSV!R313</f>
        <v>563.64660890000005</v>
      </c>
      <c r="E313">
        <f>Louisa_wConduits_Input_CSV!S313</f>
        <v>6</v>
      </c>
      <c r="F313">
        <f ca="1">_xlfn.XLOOKUP(A313,[1]LEYP_Input!A$2:A$389,[1]LEYP_Input!$C$2:$C$389)</f>
        <v>2</v>
      </c>
      <c r="G313">
        <f>Louisa_wConduits_Input_CSV!AZ313</f>
        <v>1</v>
      </c>
    </row>
    <row r="314" spans="1:7" x14ac:dyDescent="0.2">
      <c r="A314" t="str">
        <f>Louisa_wConduits_Input_CSV!B314</f>
        <v>P1413</v>
      </c>
      <c r="B314" t="str">
        <f>_xlfn.XLOOKUP(A314,[1]Conduits_Condition!$A$2:$A$389,[1]Conduits_Condition!$B$2:$B$389)</f>
        <v>DI</v>
      </c>
      <c r="C314">
        <f ca="1">YEAR(TODAY())-_xlfn.XLOOKUP(A314,InstallDate!$B$2:$B$389,InstallDate!$BD$2:$BD$389)</f>
        <v>26</v>
      </c>
      <c r="D314">
        <f>Louisa_wConduits_Input_CSV!R314</f>
        <v>40.28210035</v>
      </c>
      <c r="E314">
        <f>Louisa_wConduits_Input_CSV!S314</f>
        <v>6</v>
      </c>
      <c r="F314">
        <f ca="1">_xlfn.XLOOKUP(A314,[1]LEYP_Input!A$2:A$389,[1]LEYP_Input!$C$2:$C$389)</f>
        <v>2</v>
      </c>
      <c r="G314">
        <f>Louisa_wConduits_Input_CSV!AZ314</f>
        <v>1</v>
      </c>
    </row>
    <row r="315" spans="1:7" x14ac:dyDescent="0.2">
      <c r="A315" t="str">
        <f>Louisa_wConduits_Input_CSV!B315</f>
        <v>P1415</v>
      </c>
      <c r="B315" t="str">
        <f>_xlfn.XLOOKUP(A315,[1]Conduits_Condition!$A$2:$A$389,[1]Conduits_Condition!$B$2:$B$389)</f>
        <v>DI</v>
      </c>
      <c r="C315">
        <f ca="1">YEAR(TODAY())-_xlfn.XLOOKUP(A315,InstallDate!$B$2:$B$389,InstallDate!$BD$2:$BD$389)</f>
        <v>26</v>
      </c>
      <c r="D315">
        <f>Louisa_wConduits_Input_CSV!R315</f>
        <v>360.431286</v>
      </c>
      <c r="E315">
        <f>Louisa_wConduits_Input_CSV!S315</f>
        <v>6</v>
      </c>
      <c r="F315">
        <f ca="1">_xlfn.XLOOKUP(A315,[1]LEYP_Input!A$2:A$389,[1]LEYP_Input!$C$2:$C$389)</f>
        <v>2</v>
      </c>
      <c r="G315">
        <f>Louisa_wConduits_Input_CSV!AZ315</f>
        <v>1</v>
      </c>
    </row>
    <row r="316" spans="1:7" x14ac:dyDescent="0.2">
      <c r="A316" t="str">
        <f>Louisa_wConduits_Input_CSV!B316</f>
        <v>P1417</v>
      </c>
      <c r="B316" t="str">
        <f>_xlfn.XLOOKUP(A316,[1]Conduits_Condition!$A$2:$A$389,[1]Conduits_Condition!$B$2:$B$389)</f>
        <v>DI</v>
      </c>
      <c r="C316">
        <f ca="1">YEAR(TODAY())-_xlfn.XLOOKUP(A316,InstallDate!$B$2:$B$389,InstallDate!$BD$2:$BD$389)</f>
        <v>26</v>
      </c>
      <c r="D316">
        <f>Louisa_wConduits_Input_CSV!R316</f>
        <v>357.90599500000002</v>
      </c>
      <c r="E316">
        <f>Louisa_wConduits_Input_CSV!S316</f>
        <v>6</v>
      </c>
      <c r="F316">
        <f ca="1">_xlfn.XLOOKUP(A316,[1]LEYP_Input!A$2:A$389,[1]LEYP_Input!$C$2:$C$389)</f>
        <v>2</v>
      </c>
      <c r="G316">
        <f>Louisa_wConduits_Input_CSV!AZ316</f>
        <v>1</v>
      </c>
    </row>
    <row r="317" spans="1:7" x14ac:dyDescent="0.2">
      <c r="A317" t="str">
        <f>Louisa_wConduits_Input_CSV!B317</f>
        <v>P1419</v>
      </c>
      <c r="B317" t="str">
        <f>_xlfn.XLOOKUP(A317,[1]Conduits_Condition!$A$2:$A$389,[1]Conduits_Condition!$B$2:$B$389)</f>
        <v>DI</v>
      </c>
      <c r="C317">
        <f ca="1">YEAR(TODAY())-_xlfn.XLOOKUP(A317,InstallDate!$B$2:$B$389,InstallDate!$BD$2:$BD$389)</f>
        <v>26</v>
      </c>
      <c r="D317">
        <f>Louisa_wConduits_Input_CSV!R317</f>
        <v>181.93156060000001</v>
      </c>
      <c r="E317">
        <f>Louisa_wConduits_Input_CSV!S317</f>
        <v>6</v>
      </c>
      <c r="F317">
        <f ca="1">_xlfn.XLOOKUP(A317,[1]LEYP_Input!A$2:A$389,[1]LEYP_Input!$C$2:$C$389)</f>
        <v>2</v>
      </c>
      <c r="G317">
        <f>Louisa_wConduits_Input_CSV!AZ317</f>
        <v>1</v>
      </c>
    </row>
    <row r="318" spans="1:7" x14ac:dyDescent="0.2">
      <c r="A318" t="str">
        <f>Louisa_wConduits_Input_CSV!B318</f>
        <v>P1421</v>
      </c>
      <c r="B318" t="str">
        <f>_xlfn.XLOOKUP(A318,[1]Conduits_Condition!$A$2:$A$389,[1]Conduits_Condition!$B$2:$B$389)</f>
        <v>DI</v>
      </c>
      <c r="C318">
        <f ca="1">YEAR(TODAY())-_xlfn.XLOOKUP(A318,InstallDate!$B$2:$B$389,InstallDate!$BD$2:$BD$389)</f>
        <v>26</v>
      </c>
      <c r="D318">
        <f>Louisa_wConduits_Input_CSV!R318</f>
        <v>1055.9055390000001</v>
      </c>
      <c r="E318">
        <f>Louisa_wConduits_Input_CSV!S318</f>
        <v>6</v>
      </c>
      <c r="F318">
        <f ca="1">_xlfn.XLOOKUP(A318,[1]LEYP_Input!A$2:A$389,[1]LEYP_Input!$C$2:$C$389)</f>
        <v>2</v>
      </c>
      <c r="G318">
        <f>Louisa_wConduits_Input_CSV!AZ318</f>
        <v>1</v>
      </c>
    </row>
    <row r="319" spans="1:7" x14ac:dyDescent="0.2">
      <c r="A319" t="str">
        <f>Louisa_wConduits_Input_CSV!B319</f>
        <v>P1423</v>
      </c>
      <c r="B319" t="str">
        <f>_xlfn.XLOOKUP(A319,[1]Conduits_Condition!$A$2:$A$389,[1]Conduits_Condition!$B$2:$B$389)</f>
        <v>DI</v>
      </c>
      <c r="C319">
        <f ca="1">YEAR(TODAY())-_xlfn.XLOOKUP(A319,InstallDate!$B$2:$B$389,InstallDate!$BD$2:$BD$389)</f>
        <v>26</v>
      </c>
      <c r="D319">
        <f>Louisa_wConduits_Input_CSV!R319</f>
        <v>94.133673770000001</v>
      </c>
      <c r="E319">
        <f>Louisa_wConduits_Input_CSV!S319</f>
        <v>6</v>
      </c>
      <c r="F319">
        <f ca="1">_xlfn.XLOOKUP(A319,[1]LEYP_Input!A$2:A$389,[1]LEYP_Input!$C$2:$C$389)</f>
        <v>2</v>
      </c>
      <c r="G319">
        <f>Louisa_wConduits_Input_CSV!AZ319</f>
        <v>1</v>
      </c>
    </row>
    <row r="320" spans="1:7" x14ac:dyDescent="0.2">
      <c r="A320" t="str">
        <f>Louisa_wConduits_Input_CSV!B320</f>
        <v>P1425</v>
      </c>
      <c r="B320" t="str">
        <f>_xlfn.XLOOKUP(A320,[1]Conduits_Condition!$A$2:$A$389,[1]Conduits_Condition!$B$2:$B$389)</f>
        <v>DI</v>
      </c>
      <c r="C320">
        <f ca="1">YEAR(TODAY())-_xlfn.XLOOKUP(A320,InstallDate!$B$2:$B$389,InstallDate!$BD$2:$BD$389)</f>
        <v>26</v>
      </c>
      <c r="D320">
        <f>Louisa_wConduits_Input_CSV!R320</f>
        <v>39.830701380000001</v>
      </c>
      <c r="E320">
        <f>Louisa_wConduits_Input_CSV!S320</f>
        <v>6</v>
      </c>
      <c r="F320">
        <f ca="1">_xlfn.XLOOKUP(A320,[1]LEYP_Input!A$2:A$389,[1]LEYP_Input!$C$2:$C$389)</f>
        <v>2</v>
      </c>
      <c r="G320">
        <f>Louisa_wConduits_Input_CSV!AZ320</f>
        <v>2</v>
      </c>
    </row>
    <row r="321" spans="1:7" x14ac:dyDescent="0.2">
      <c r="A321" t="str">
        <f>Louisa_wConduits_Input_CSV!B321</f>
        <v>P1427</v>
      </c>
      <c r="B321" t="str">
        <f>_xlfn.XLOOKUP(A321,[1]Conduits_Condition!$A$2:$A$389,[1]Conduits_Condition!$B$2:$B$389)</f>
        <v>DI</v>
      </c>
      <c r="C321">
        <f ca="1">YEAR(TODAY())-_xlfn.XLOOKUP(A321,InstallDate!$B$2:$B$389,InstallDate!$BD$2:$BD$389)</f>
        <v>46</v>
      </c>
      <c r="D321">
        <f>Louisa_wConduits_Input_CSV!R321</f>
        <v>309.81301050000002</v>
      </c>
      <c r="E321">
        <f>Louisa_wConduits_Input_CSV!S321</f>
        <v>6</v>
      </c>
      <c r="F321">
        <f ca="1">_xlfn.XLOOKUP(A321,[1]LEYP_Input!A$2:A$389,[1]LEYP_Input!$C$2:$C$389)</f>
        <v>1</v>
      </c>
      <c r="G321">
        <f>Louisa_wConduits_Input_CSV!AZ321</f>
        <v>2</v>
      </c>
    </row>
    <row r="322" spans="1:7" x14ac:dyDescent="0.2">
      <c r="A322" t="str">
        <f>Louisa_wConduits_Input_CSV!B322</f>
        <v>P1429</v>
      </c>
      <c r="B322" t="str">
        <f>_xlfn.XLOOKUP(A322,[1]Conduits_Condition!$A$2:$A$389,[1]Conduits_Condition!$B$2:$B$389)</f>
        <v>DI</v>
      </c>
      <c r="C322">
        <f ca="1">YEAR(TODAY())-_xlfn.XLOOKUP(A322,InstallDate!$B$2:$B$389,InstallDate!$BD$2:$BD$389)</f>
        <v>46</v>
      </c>
      <c r="D322">
        <f>Louisa_wConduits_Input_CSV!R322</f>
        <v>153.6994018</v>
      </c>
      <c r="E322">
        <f>Louisa_wConduits_Input_CSV!S322</f>
        <v>6</v>
      </c>
      <c r="F322">
        <f ca="1">_xlfn.XLOOKUP(A322,[1]LEYP_Input!A$2:A$389,[1]LEYP_Input!$C$2:$C$389)</f>
        <v>1</v>
      </c>
      <c r="G322">
        <f>Louisa_wConduits_Input_CSV!AZ322</f>
        <v>2</v>
      </c>
    </row>
    <row r="323" spans="1:7" x14ac:dyDescent="0.2">
      <c r="A323" t="str">
        <f>Louisa_wConduits_Input_CSV!B323</f>
        <v>P1431</v>
      </c>
      <c r="B323" t="str">
        <f>_xlfn.XLOOKUP(A323,[1]Conduits_Condition!$A$2:$A$389,[1]Conduits_Condition!$B$2:$B$389)</f>
        <v>DI</v>
      </c>
      <c r="C323">
        <f ca="1">YEAR(TODAY())-_xlfn.XLOOKUP(A323,InstallDate!$B$2:$B$389,InstallDate!$BD$2:$BD$389)</f>
        <v>76</v>
      </c>
      <c r="D323">
        <f>Louisa_wConduits_Input_CSV!R323</f>
        <v>87.371396579999995</v>
      </c>
      <c r="E323">
        <f>Louisa_wConduits_Input_CSV!S323</f>
        <v>6</v>
      </c>
      <c r="F323">
        <f ca="1">_xlfn.XLOOKUP(A323,[1]LEYP_Input!A$2:A$389,[1]LEYP_Input!$C$2:$C$389)</f>
        <v>1</v>
      </c>
      <c r="G323">
        <f>Louisa_wConduits_Input_CSV!AZ323</f>
        <v>2</v>
      </c>
    </row>
    <row r="324" spans="1:7" x14ac:dyDescent="0.2">
      <c r="A324" t="str">
        <f>Louisa_wConduits_Input_CSV!B324</f>
        <v>P1433</v>
      </c>
      <c r="B324" t="str">
        <f>_xlfn.XLOOKUP(A324,[1]Conduits_Condition!$A$2:$A$389,[1]Conduits_Condition!$B$2:$B$389)</f>
        <v>DI</v>
      </c>
      <c r="C324">
        <f ca="1">YEAR(TODAY())-_xlfn.XLOOKUP(A324,InstallDate!$B$2:$B$389,InstallDate!$BD$2:$BD$389)</f>
        <v>76</v>
      </c>
      <c r="D324">
        <f>Louisa_wConduits_Input_CSV!R324</f>
        <v>707.80975679999995</v>
      </c>
      <c r="E324">
        <f>Louisa_wConduits_Input_CSV!S324</f>
        <v>6</v>
      </c>
      <c r="F324">
        <f ca="1">_xlfn.XLOOKUP(A324,[1]LEYP_Input!A$2:A$389,[1]LEYP_Input!$C$2:$C$389)</f>
        <v>1</v>
      </c>
      <c r="G324">
        <f>Louisa_wConduits_Input_CSV!AZ324</f>
        <v>2</v>
      </c>
    </row>
    <row r="325" spans="1:7" x14ac:dyDescent="0.2">
      <c r="A325" t="str">
        <f>Louisa_wConduits_Input_CSV!B325</f>
        <v>P1435</v>
      </c>
      <c r="B325" t="str">
        <f>_xlfn.XLOOKUP(A325,[1]Conduits_Condition!$A$2:$A$389,[1]Conduits_Condition!$B$2:$B$389)</f>
        <v>DI</v>
      </c>
      <c r="C325">
        <f ca="1">YEAR(TODAY())-_xlfn.XLOOKUP(A325,InstallDate!$B$2:$B$389,InstallDate!$BD$2:$BD$389)</f>
        <v>26</v>
      </c>
      <c r="D325">
        <f>Louisa_wConduits_Input_CSV!R325</f>
        <v>178.99615660000001</v>
      </c>
      <c r="E325">
        <f>Louisa_wConduits_Input_CSV!S325</f>
        <v>6</v>
      </c>
      <c r="F325">
        <f ca="1">_xlfn.XLOOKUP(A325,[1]LEYP_Input!A$2:A$389,[1]LEYP_Input!$C$2:$C$389)</f>
        <v>2</v>
      </c>
      <c r="G325">
        <f>Louisa_wConduits_Input_CSV!AZ325</f>
        <v>1</v>
      </c>
    </row>
    <row r="326" spans="1:7" x14ac:dyDescent="0.2">
      <c r="A326" t="str">
        <f>Louisa_wConduits_Input_CSV!B326</f>
        <v>P1437</v>
      </c>
      <c r="B326" t="str">
        <f>_xlfn.XLOOKUP(A326,[1]Conduits_Condition!$A$2:$A$389,[1]Conduits_Condition!$B$2:$B$389)</f>
        <v>DI</v>
      </c>
      <c r="C326">
        <f ca="1">YEAR(TODAY())-_xlfn.XLOOKUP(A326,InstallDate!$B$2:$B$389,InstallDate!$BD$2:$BD$389)</f>
        <v>76</v>
      </c>
      <c r="D326">
        <f>Louisa_wConduits_Input_CSV!R326</f>
        <v>39.82207674</v>
      </c>
      <c r="E326">
        <f>Louisa_wConduits_Input_CSV!S326</f>
        <v>6</v>
      </c>
      <c r="F326">
        <f ca="1">_xlfn.XLOOKUP(A326,[1]LEYP_Input!A$2:A$389,[1]LEYP_Input!$C$2:$C$389)</f>
        <v>1</v>
      </c>
      <c r="G326">
        <f>Louisa_wConduits_Input_CSV!AZ326</f>
        <v>1</v>
      </c>
    </row>
    <row r="327" spans="1:7" x14ac:dyDescent="0.2">
      <c r="A327" t="str">
        <f>Louisa_wConduits_Input_CSV!B327</f>
        <v>P1439</v>
      </c>
      <c r="B327" t="str">
        <f>_xlfn.XLOOKUP(A327,[1]Conduits_Condition!$A$2:$A$389,[1]Conduits_Condition!$B$2:$B$389)</f>
        <v>DI</v>
      </c>
      <c r="C327">
        <f ca="1">YEAR(TODAY())-_xlfn.XLOOKUP(A327,InstallDate!$B$2:$B$389,InstallDate!$BD$2:$BD$389)</f>
        <v>26</v>
      </c>
      <c r="D327">
        <f>Louisa_wConduits_Input_CSV!R327</f>
        <v>325.17320849999999</v>
      </c>
      <c r="E327">
        <f>Louisa_wConduits_Input_CSV!S327</f>
        <v>6</v>
      </c>
      <c r="F327">
        <f ca="1">_xlfn.XLOOKUP(A327,[1]LEYP_Input!A$2:A$389,[1]LEYP_Input!$C$2:$C$389)</f>
        <v>2</v>
      </c>
      <c r="G327">
        <f>Louisa_wConduits_Input_CSV!AZ327</f>
        <v>1</v>
      </c>
    </row>
    <row r="328" spans="1:7" x14ac:dyDescent="0.2">
      <c r="A328" t="str">
        <f>Louisa_wConduits_Input_CSV!B328</f>
        <v>P1441</v>
      </c>
      <c r="B328" t="str">
        <f>_xlfn.XLOOKUP(A328,[1]Conduits_Condition!$A$2:$A$389,[1]Conduits_Condition!$B$2:$B$389)</f>
        <v>DI</v>
      </c>
      <c r="C328">
        <f ca="1">YEAR(TODAY())-_xlfn.XLOOKUP(A328,InstallDate!$B$2:$B$389,InstallDate!$BD$2:$BD$389)</f>
        <v>46</v>
      </c>
      <c r="D328">
        <f>Louisa_wConduits_Input_CSV!R328</f>
        <v>295.69249259999998</v>
      </c>
      <c r="E328">
        <f>Louisa_wConduits_Input_CSV!S328</f>
        <v>6</v>
      </c>
      <c r="F328">
        <f ca="1">_xlfn.XLOOKUP(A328,[1]LEYP_Input!A$2:A$389,[1]LEYP_Input!$C$2:$C$389)</f>
        <v>1</v>
      </c>
      <c r="G328">
        <f>Louisa_wConduits_Input_CSV!AZ328</f>
        <v>2</v>
      </c>
    </row>
    <row r="329" spans="1:7" x14ac:dyDescent="0.2">
      <c r="A329" t="str">
        <f>Louisa_wConduits_Input_CSV!B329</f>
        <v>P1443</v>
      </c>
      <c r="B329" t="str">
        <f>_xlfn.XLOOKUP(A329,[1]Conduits_Condition!$A$2:$A$389,[1]Conduits_Condition!$B$2:$B$389)</f>
        <v>DI</v>
      </c>
      <c r="C329">
        <f ca="1">YEAR(TODAY())-_xlfn.XLOOKUP(A329,InstallDate!$B$2:$B$389,InstallDate!$BD$2:$BD$389)</f>
        <v>46</v>
      </c>
      <c r="D329">
        <f>Louisa_wConduits_Input_CSV!R329</f>
        <v>76.758291170000007</v>
      </c>
      <c r="E329">
        <f>Louisa_wConduits_Input_CSV!S329</f>
        <v>6</v>
      </c>
      <c r="F329">
        <f ca="1">_xlfn.XLOOKUP(A329,[1]LEYP_Input!A$2:A$389,[1]LEYP_Input!$C$2:$C$389)</f>
        <v>1</v>
      </c>
      <c r="G329">
        <f>Louisa_wConduits_Input_CSV!AZ329</f>
        <v>2</v>
      </c>
    </row>
    <row r="330" spans="1:7" x14ac:dyDescent="0.2">
      <c r="A330" t="str">
        <f>Louisa_wConduits_Input_CSV!B330</f>
        <v>P1445</v>
      </c>
      <c r="B330" t="str">
        <f>_xlfn.XLOOKUP(A330,[1]Conduits_Condition!$A$2:$A$389,[1]Conduits_Condition!$B$2:$B$389)</f>
        <v>DI</v>
      </c>
      <c r="C330">
        <f ca="1">YEAR(TODAY())-_xlfn.XLOOKUP(A330,InstallDate!$B$2:$B$389,InstallDate!$BD$2:$BD$389)</f>
        <v>46</v>
      </c>
      <c r="D330">
        <f>Louisa_wConduits_Input_CSV!R330</f>
        <v>675.1336867</v>
      </c>
      <c r="E330">
        <f>Louisa_wConduits_Input_CSV!S330</f>
        <v>6</v>
      </c>
      <c r="F330">
        <f ca="1">_xlfn.XLOOKUP(A330,[1]LEYP_Input!A$2:A$389,[1]LEYP_Input!$C$2:$C$389)</f>
        <v>1</v>
      </c>
      <c r="G330">
        <f>Louisa_wConduits_Input_CSV!AZ330</f>
        <v>3</v>
      </c>
    </row>
    <row r="331" spans="1:7" x14ac:dyDescent="0.2">
      <c r="A331" t="str">
        <f>Louisa_wConduits_Input_CSV!B331</f>
        <v>P1447</v>
      </c>
      <c r="B331" t="str">
        <f>_xlfn.XLOOKUP(A331,[1]Conduits_Condition!$A$2:$A$389,[1]Conduits_Condition!$B$2:$B$389)</f>
        <v>DI</v>
      </c>
      <c r="C331">
        <f ca="1">YEAR(TODAY())-_xlfn.XLOOKUP(A331,InstallDate!$B$2:$B$389,InstallDate!$BD$2:$BD$389)</f>
        <v>46</v>
      </c>
      <c r="D331">
        <f>Louisa_wConduits_Input_CSV!R331</f>
        <v>679.97501499999998</v>
      </c>
      <c r="E331">
        <f>Louisa_wConduits_Input_CSV!S331</f>
        <v>6</v>
      </c>
      <c r="F331">
        <f ca="1">_xlfn.XLOOKUP(A331,[1]LEYP_Input!A$2:A$389,[1]LEYP_Input!$C$2:$C$389)</f>
        <v>1</v>
      </c>
      <c r="G331">
        <f>Louisa_wConduits_Input_CSV!AZ331</f>
        <v>2</v>
      </c>
    </row>
    <row r="332" spans="1:7" x14ac:dyDescent="0.2">
      <c r="A332" t="str">
        <f>Louisa_wConduits_Input_CSV!B332</f>
        <v>P1449</v>
      </c>
      <c r="B332" t="str">
        <f>_xlfn.XLOOKUP(A332,[1]Conduits_Condition!$A$2:$A$389,[1]Conduits_Condition!$B$2:$B$389)</f>
        <v>DI</v>
      </c>
      <c r="C332">
        <f ca="1">YEAR(TODAY())-_xlfn.XLOOKUP(A332,InstallDate!$B$2:$B$389,InstallDate!$BD$2:$BD$389)</f>
        <v>46</v>
      </c>
      <c r="D332">
        <f>Louisa_wConduits_Input_CSV!R332</f>
        <v>516.13227429999995</v>
      </c>
      <c r="E332">
        <f>Louisa_wConduits_Input_CSV!S332</f>
        <v>6</v>
      </c>
      <c r="F332">
        <f ca="1">_xlfn.XLOOKUP(A332,[1]LEYP_Input!A$2:A$389,[1]LEYP_Input!$C$2:$C$389)</f>
        <v>1</v>
      </c>
      <c r="G332">
        <f>Louisa_wConduits_Input_CSV!AZ332</f>
        <v>2</v>
      </c>
    </row>
    <row r="333" spans="1:7" x14ac:dyDescent="0.2">
      <c r="A333" t="str">
        <f>Louisa_wConduits_Input_CSV!B333</f>
        <v>P1451</v>
      </c>
      <c r="B333" t="str">
        <f>_xlfn.XLOOKUP(A333,[1]Conduits_Condition!$A$2:$A$389,[1]Conduits_Condition!$B$2:$B$389)</f>
        <v>DI</v>
      </c>
      <c r="C333">
        <f ca="1">YEAR(TODAY())-_xlfn.XLOOKUP(A333,InstallDate!$B$2:$B$389,InstallDate!$BD$2:$BD$389)</f>
        <v>46</v>
      </c>
      <c r="D333">
        <f>Louisa_wConduits_Input_CSV!R333</f>
        <v>585.86577869999996</v>
      </c>
      <c r="E333">
        <f>Louisa_wConduits_Input_CSV!S333</f>
        <v>6</v>
      </c>
      <c r="F333">
        <f ca="1">_xlfn.XLOOKUP(A333,[1]LEYP_Input!A$2:A$389,[1]LEYP_Input!$C$2:$C$389)</f>
        <v>1</v>
      </c>
      <c r="G333">
        <f>Louisa_wConduits_Input_CSV!AZ333</f>
        <v>2</v>
      </c>
    </row>
    <row r="334" spans="1:7" x14ac:dyDescent="0.2">
      <c r="A334" t="str">
        <f>Louisa_wConduits_Input_CSV!B334</f>
        <v>P1453</v>
      </c>
      <c r="B334" t="str">
        <f>_xlfn.XLOOKUP(A334,[1]Conduits_Condition!$A$2:$A$389,[1]Conduits_Condition!$B$2:$B$389)</f>
        <v>DI</v>
      </c>
      <c r="C334">
        <f ca="1">YEAR(TODAY())-_xlfn.XLOOKUP(A334,InstallDate!$B$2:$B$389,InstallDate!$BD$2:$BD$389)</f>
        <v>46</v>
      </c>
      <c r="D334">
        <f>Louisa_wConduits_Input_CSV!R334</f>
        <v>122.2416235</v>
      </c>
      <c r="E334">
        <f>Louisa_wConduits_Input_CSV!S334</f>
        <v>6</v>
      </c>
      <c r="F334">
        <f ca="1">_xlfn.XLOOKUP(A334,[1]LEYP_Input!A$2:A$389,[1]LEYP_Input!$C$2:$C$389)</f>
        <v>1</v>
      </c>
      <c r="G334">
        <f>Louisa_wConduits_Input_CSV!AZ334</f>
        <v>2</v>
      </c>
    </row>
    <row r="335" spans="1:7" x14ac:dyDescent="0.2">
      <c r="A335" t="str">
        <f>Louisa_wConduits_Input_CSV!B335</f>
        <v>P1455</v>
      </c>
      <c r="B335" t="str">
        <f>_xlfn.XLOOKUP(A335,[1]Conduits_Condition!$A$2:$A$389,[1]Conduits_Condition!$B$2:$B$389)</f>
        <v>DI</v>
      </c>
      <c r="C335">
        <f ca="1">YEAR(TODAY())-_xlfn.XLOOKUP(A335,InstallDate!$B$2:$B$389,InstallDate!$BD$2:$BD$389)</f>
        <v>46</v>
      </c>
      <c r="D335">
        <f>Louisa_wConduits_Input_CSV!R335</f>
        <v>282.1254682</v>
      </c>
      <c r="E335">
        <f>Louisa_wConduits_Input_CSV!S335</f>
        <v>6</v>
      </c>
      <c r="F335">
        <f ca="1">_xlfn.XLOOKUP(A335,[1]LEYP_Input!A$2:A$389,[1]LEYP_Input!$C$2:$C$389)</f>
        <v>1</v>
      </c>
      <c r="G335">
        <f>Louisa_wConduits_Input_CSV!AZ335</f>
        <v>2</v>
      </c>
    </row>
    <row r="336" spans="1:7" x14ac:dyDescent="0.2">
      <c r="A336" t="str">
        <f>Louisa_wConduits_Input_CSV!B336</f>
        <v>P1457</v>
      </c>
      <c r="B336" t="str">
        <f>_xlfn.XLOOKUP(A336,[1]Conduits_Condition!$A$2:$A$389,[1]Conduits_Condition!$B$2:$B$389)</f>
        <v>DI</v>
      </c>
      <c r="C336">
        <f ca="1">YEAR(TODAY())-_xlfn.XLOOKUP(A336,InstallDate!$B$2:$B$389,InstallDate!$BD$2:$BD$389)</f>
        <v>46</v>
      </c>
      <c r="D336">
        <f>Louisa_wConduits_Input_CSV!R336</f>
        <v>2327.229652</v>
      </c>
      <c r="E336">
        <f>Louisa_wConduits_Input_CSV!S336</f>
        <v>6</v>
      </c>
      <c r="F336">
        <f ca="1">_xlfn.XLOOKUP(A336,[1]LEYP_Input!A$2:A$389,[1]LEYP_Input!$C$2:$C$389)</f>
        <v>1</v>
      </c>
      <c r="G336">
        <f>Louisa_wConduits_Input_CSV!AZ336</f>
        <v>2</v>
      </c>
    </row>
    <row r="337" spans="1:7" x14ac:dyDescent="0.2">
      <c r="A337" t="str">
        <f>Louisa_wConduits_Input_CSV!B337</f>
        <v>P1459</v>
      </c>
      <c r="B337" t="str">
        <f>_xlfn.XLOOKUP(A337,[1]Conduits_Condition!$A$2:$A$389,[1]Conduits_Condition!$B$2:$B$389)</f>
        <v>DI</v>
      </c>
      <c r="C337">
        <f ca="1">YEAR(TODAY())-_xlfn.XLOOKUP(A337,InstallDate!$B$2:$B$389,InstallDate!$BD$2:$BD$389)</f>
        <v>46</v>
      </c>
      <c r="D337">
        <f>Louisa_wConduits_Input_CSV!R337</f>
        <v>28.687152619999999</v>
      </c>
      <c r="E337">
        <f>Louisa_wConduits_Input_CSV!S337</f>
        <v>6</v>
      </c>
      <c r="F337">
        <f ca="1">_xlfn.XLOOKUP(A337,[1]LEYP_Input!A$2:A$389,[1]LEYP_Input!$C$2:$C$389)</f>
        <v>1</v>
      </c>
      <c r="G337">
        <f>Louisa_wConduits_Input_CSV!AZ337</f>
        <v>2</v>
      </c>
    </row>
    <row r="338" spans="1:7" x14ac:dyDescent="0.2">
      <c r="A338" t="str">
        <f>Louisa_wConduits_Input_CSV!B338</f>
        <v>P1461</v>
      </c>
      <c r="B338" t="str">
        <f>_xlfn.XLOOKUP(A338,[1]Conduits_Condition!$A$2:$A$389,[1]Conduits_Condition!$B$2:$B$389)</f>
        <v>DI</v>
      </c>
      <c r="C338">
        <f ca="1">YEAR(TODAY())-_xlfn.XLOOKUP(A338,InstallDate!$B$2:$B$389,InstallDate!$BD$2:$BD$389)</f>
        <v>46</v>
      </c>
      <c r="D338">
        <f>Louisa_wConduits_Input_CSV!R338</f>
        <v>192.7225832</v>
      </c>
      <c r="E338">
        <f>Louisa_wConduits_Input_CSV!S338</f>
        <v>6</v>
      </c>
      <c r="F338">
        <f ca="1">_xlfn.XLOOKUP(A338,[1]LEYP_Input!A$2:A$389,[1]LEYP_Input!$C$2:$C$389)</f>
        <v>1</v>
      </c>
      <c r="G338">
        <f>Louisa_wConduits_Input_CSV!AZ338</f>
        <v>2</v>
      </c>
    </row>
    <row r="339" spans="1:7" x14ac:dyDescent="0.2">
      <c r="A339" t="str">
        <f>Louisa_wConduits_Input_CSV!B339</f>
        <v>P1463</v>
      </c>
      <c r="B339" t="str">
        <f>_xlfn.XLOOKUP(A339,[1]Conduits_Condition!$A$2:$A$389,[1]Conduits_Condition!$B$2:$B$389)</f>
        <v>DI</v>
      </c>
      <c r="C339">
        <f ca="1">YEAR(TODAY())-_xlfn.XLOOKUP(A339,InstallDate!$B$2:$B$389,InstallDate!$BD$2:$BD$389)</f>
        <v>46</v>
      </c>
      <c r="D339">
        <f>Louisa_wConduits_Input_CSV!R339</f>
        <v>316.4482271</v>
      </c>
      <c r="E339">
        <f>Louisa_wConduits_Input_CSV!S339</f>
        <v>6</v>
      </c>
      <c r="F339">
        <f ca="1">_xlfn.XLOOKUP(A339,[1]LEYP_Input!A$2:A$389,[1]LEYP_Input!$C$2:$C$389)</f>
        <v>1</v>
      </c>
      <c r="G339">
        <f>Louisa_wConduits_Input_CSV!AZ339</f>
        <v>2</v>
      </c>
    </row>
    <row r="340" spans="1:7" x14ac:dyDescent="0.2">
      <c r="A340" t="str">
        <f>Louisa_wConduits_Input_CSV!B340</f>
        <v>P1465</v>
      </c>
      <c r="B340" t="str">
        <f>_xlfn.XLOOKUP(A340,[1]Conduits_Condition!$A$2:$A$389,[1]Conduits_Condition!$B$2:$B$389)</f>
        <v>DI</v>
      </c>
      <c r="C340">
        <f ca="1">YEAR(TODAY())-_xlfn.XLOOKUP(A340,InstallDate!$B$2:$B$389,InstallDate!$BD$2:$BD$389)</f>
        <v>46</v>
      </c>
      <c r="D340">
        <f>Louisa_wConduits_Input_CSV!R340</f>
        <v>442.94244400000002</v>
      </c>
      <c r="E340">
        <f>Louisa_wConduits_Input_CSV!S340</f>
        <v>6</v>
      </c>
      <c r="F340">
        <f ca="1">_xlfn.XLOOKUP(A340,[1]LEYP_Input!A$2:A$389,[1]LEYP_Input!$C$2:$C$389)</f>
        <v>1</v>
      </c>
      <c r="G340">
        <f>Louisa_wConduits_Input_CSV!AZ340</f>
        <v>2</v>
      </c>
    </row>
    <row r="341" spans="1:7" x14ac:dyDescent="0.2">
      <c r="A341" t="str">
        <f>Louisa_wConduits_Input_CSV!B341</f>
        <v>P1467</v>
      </c>
      <c r="B341" t="str">
        <f>_xlfn.XLOOKUP(A341,[1]Conduits_Condition!$A$2:$A$389,[1]Conduits_Condition!$B$2:$B$389)</f>
        <v>DI</v>
      </c>
      <c r="C341">
        <f ca="1">YEAR(TODAY())-_xlfn.XLOOKUP(A341,InstallDate!$B$2:$B$389,InstallDate!$BD$2:$BD$389)</f>
        <v>46</v>
      </c>
      <c r="D341">
        <f>Louisa_wConduits_Input_CSV!R341</f>
        <v>117.7507131</v>
      </c>
      <c r="E341">
        <f>Louisa_wConduits_Input_CSV!S341</f>
        <v>6</v>
      </c>
      <c r="F341">
        <f ca="1">_xlfn.XLOOKUP(A341,[1]LEYP_Input!A$2:A$389,[1]LEYP_Input!$C$2:$C$389)</f>
        <v>1</v>
      </c>
      <c r="G341">
        <f>Louisa_wConduits_Input_CSV!AZ341</f>
        <v>2</v>
      </c>
    </row>
    <row r="342" spans="1:7" x14ac:dyDescent="0.2">
      <c r="A342" t="str">
        <f>Louisa_wConduits_Input_CSV!B342</f>
        <v>P1469</v>
      </c>
      <c r="B342" t="str">
        <f>_xlfn.XLOOKUP(A342,[1]Conduits_Condition!$A$2:$A$389,[1]Conduits_Condition!$B$2:$B$389)</f>
        <v>DI</v>
      </c>
      <c r="C342">
        <f ca="1">YEAR(TODAY())-_xlfn.XLOOKUP(A342,InstallDate!$B$2:$B$389,InstallDate!$BD$2:$BD$389)</f>
        <v>46</v>
      </c>
      <c r="D342">
        <f>Louisa_wConduits_Input_CSV!R342</f>
        <v>221.15011870000001</v>
      </c>
      <c r="E342">
        <f>Louisa_wConduits_Input_CSV!S342</f>
        <v>6</v>
      </c>
      <c r="F342">
        <f ca="1">_xlfn.XLOOKUP(A342,[1]LEYP_Input!A$2:A$389,[1]LEYP_Input!$C$2:$C$389)</f>
        <v>1</v>
      </c>
      <c r="G342">
        <f>Louisa_wConduits_Input_CSV!AZ342</f>
        <v>1</v>
      </c>
    </row>
    <row r="343" spans="1:7" x14ac:dyDescent="0.2">
      <c r="A343" t="str">
        <f>Louisa_wConduits_Input_CSV!B343</f>
        <v>P1471</v>
      </c>
      <c r="B343" t="str">
        <f>_xlfn.XLOOKUP(A343,[1]Conduits_Condition!$A$2:$A$389,[1]Conduits_Condition!$B$2:$B$389)</f>
        <v>DI</v>
      </c>
      <c r="C343">
        <f ca="1">YEAR(TODAY())-_xlfn.XLOOKUP(A343,InstallDate!$B$2:$B$389,InstallDate!$BD$2:$BD$389)</f>
        <v>46</v>
      </c>
      <c r="D343">
        <f>Louisa_wConduits_Input_CSV!R343</f>
        <v>62.021624269999997</v>
      </c>
      <c r="E343">
        <f>Louisa_wConduits_Input_CSV!S343</f>
        <v>6</v>
      </c>
      <c r="F343">
        <f ca="1">_xlfn.XLOOKUP(A343,[1]LEYP_Input!A$2:A$389,[1]LEYP_Input!$C$2:$C$389)</f>
        <v>1</v>
      </c>
      <c r="G343">
        <f>Louisa_wConduits_Input_CSV!AZ343</f>
        <v>1</v>
      </c>
    </row>
    <row r="344" spans="1:7" x14ac:dyDescent="0.2">
      <c r="A344" t="str">
        <f>Louisa_wConduits_Input_CSV!B344</f>
        <v>P1473</v>
      </c>
      <c r="B344" t="str">
        <f>_xlfn.XLOOKUP(A344,[1]Conduits_Condition!$A$2:$A$389,[1]Conduits_Condition!$B$2:$B$389)</f>
        <v>DI</v>
      </c>
      <c r="C344">
        <f ca="1">YEAR(TODAY())-_xlfn.XLOOKUP(A344,InstallDate!$B$2:$B$389,InstallDate!$BD$2:$BD$389)</f>
        <v>46</v>
      </c>
      <c r="D344">
        <f>Louisa_wConduits_Input_CSV!R344</f>
        <v>251.70746689999999</v>
      </c>
      <c r="E344">
        <f>Louisa_wConduits_Input_CSV!S344</f>
        <v>6</v>
      </c>
      <c r="F344">
        <f ca="1">_xlfn.XLOOKUP(A344,[1]LEYP_Input!A$2:A$389,[1]LEYP_Input!$C$2:$C$389)</f>
        <v>1</v>
      </c>
      <c r="G344">
        <f>Louisa_wConduits_Input_CSV!AZ344</f>
        <v>2</v>
      </c>
    </row>
    <row r="345" spans="1:7" x14ac:dyDescent="0.2">
      <c r="A345" t="str">
        <f>Louisa_wConduits_Input_CSV!B345</f>
        <v>P1475</v>
      </c>
      <c r="B345" t="str">
        <f>_xlfn.XLOOKUP(A345,[1]Conduits_Condition!$A$2:$A$389,[1]Conduits_Condition!$B$2:$B$389)</f>
        <v>DI</v>
      </c>
      <c r="C345">
        <f ca="1">YEAR(TODAY())-_xlfn.XLOOKUP(A345,InstallDate!$B$2:$B$389,InstallDate!$BD$2:$BD$389)</f>
        <v>46</v>
      </c>
      <c r="D345">
        <f>Louisa_wConduits_Input_CSV!R345</f>
        <v>278.83307439999999</v>
      </c>
      <c r="E345">
        <f>Louisa_wConduits_Input_CSV!S345</f>
        <v>6</v>
      </c>
      <c r="F345">
        <f ca="1">_xlfn.XLOOKUP(A345,[1]LEYP_Input!A$2:A$389,[1]LEYP_Input!$C$2:$C$389)</f>
        <v>1</v>
      </c>
      <c r="G345">
        <f>Louisa_wConduits_Input_CSV!AZ345</f>
        <v>2</v>
      </c>
    </row>
    <row r="346" spans="1:7" x14ac:dyDescent="0.2">
      <c r="A346" t="str">
        <f>Louisa_wConduits_Input_CSV!B346</f>
        <v>P1477</v>
      </c>
      <c r="B346" t="str">
        <f>_xlfn.XLOOKUP(A346,[1]Conduits_Condition!$A$2:$A$389,[1]Conduits_Condition!$B$2:$B$389)</f>
        <v>DI</v>
      </c>
      <c r="C346">
        <f ca="1">YEAR(TODAY())-_xlfn.XLOOKUP(A346,InstallDate!$B$2:$B$389,InstallDate!$BD$2:$BD$389)</f>
        <v>46</v>
      </c>
      <c r="D346">
        <f>Louisa_wConduits_Input_CSV!R346</f>
        <v>268.18537789999999</v>
      </c>
      <c r="E346">
        <f>Louisa_wConduits_Input_CSV!S346</f>
        <v>6</v>
      </c>
      <c r="F346">
        <f ca="1">_xlfn.XLOOKUP(A346,[1]LEYP_Input!A$2:A$389,[1]LEYP_Input!$C$2:$C$389)</f>
        <v>1</v>
      </c>
      <c r="G346">
        <f>Louisa_wConduits_Input_CSV!AZ346</f>
        <v>1</v>
      </c>
    </row>
    <row r="347" spans="1:7" x14ac:dyDescent="0.2">
      <c r="A347" t="str">
        <f>Louisa_wConduits_Input_CSV!B347</f>
        <v>P1479</v>
      </c>
      <c r="B347" t="str">
        <f>_xlfn.XLOOKUP(A347,[1]Conduits_Condition!$A$2:$A$389,[1]Conduits_Condition!$B$2:$B$389)</f>
        <v>DI</v>
      </c>
      <c r="C347">
        <f ca="1">YEAR(TODAY())-_xlfn.XLOOKUP(A347,InstallDate!$B$2:$B$389,InstallDate!$BD$2:$BD$389)</f>
        <v>96</v>
      </c>
      <c r="D347">
        <f>Louisa_wConduits_Input_CSV!R347</f>
        <v>22.662879310000001</v>
      </c>
      <c r="E347">
        <f>Louisa_wConduits_Input_CSV!S347</f>
        <v>6</v>
      </c>
      <c r="F347">
        <f ca="1">_xlfn.XLOOKUP(A347,[1]LEYP_Input!A$2:A$389,[1]LEYP_Input!$C$2:$C$389)</f>
        <v>1</v>
      </c>
      <c r="G347">
        <f>Louisa_wConduits_Input_CSV!AZ347</f>
        <v>2</v>
      </c>
    </row>
    <row r="348" spans="1:7" x14ac:dyDescent="0.2">
      <c r="A348" t="str">
        <f>Louisa_wConduits_Input_CSV!B348</f>
        <v>P1481</v>
      </c>
      <c r="B348" t="str">
        <f>_xlfn.XLOOKUP(A348,[1]Conduits_Condition!$A$2:$A$389,[1]Conduits_Condition!$B$2:$B$389)</f>
        <v>DI</v>
      </c>
      <c r="C348">
        <f ca="1">YEAR(TODAY())-_xlfn.XLOOKUP(A348,InstallDate!$B$2:$B$389,InstallDate!$BD$2:$BD$389)</f>
        <v>96</v>
      </c>
      <c r="D348">
        <f>Louisa_wConduits_Input_CSV!R348</f>
        <v>482.20345070000002</v>
      </c>
      <c r="E348">
        <f>Louisa_wConduits_Input_CSV!S348</f>
        <v>6</v>
      </c>
      <c r="F348">
        <f ca="1">_xlfn.XLOOKUP(A348,[1]LEYP_Input!A$2:A$389,[1]LEYP_Input!$C$2:$C$389)</f>
        <v>1</v>
      </c>
      <c r="G348">
        <f>Louisa_wConduits_Input_CSV!AZ348</f>
        <v>2</v>
      </c>
    </row>
    <row r="349" spans="1:7" x14ac:dyDescent="0.2">
      <c r="A349" t="str">
        <f>Louisa_wConduits_Input_CSV!B349</f>
        <v>P1483</v>
      </c>
      <c r="B349" t="str">
        <f>_xlfn.XLOOKUP(A349,[1]Conduits_Condition!$A$2:$A$389,[1]Conduits_Condition!$B$2:$B$389)</f>
        <v>DI</v>
      </c>
      <c r="C349">
        <f ca="1">YEAR(TODAY())-_xlfn.XLOOKUP(A349,InstallDate!$B$2:$B$389,InstallDate!$BD$2:$BD$389)</f>
        <v>96</v>
      </c>
      <c r="D349">
        <f>Louisa_wConduits_Input_CSV!R349</f>
        <v>339.37471599999998</v>
      </c>
      <c r="E349">
        <f>Louisa_wConduits_Input_CSV!S349</f>
        <v>6</v>
      </c>
      <c r="F349">
        <f ca="1">_xlfn.XLOOKUP(A349,[1]LEYP_Input!A$2:A$389,[1]LEYP_Input!$C$2:$C$389)</f>
        <v>1</v>
      </c>
      <c r="G349">
        <f>Louisa_wConduits_Input_CSV!AZ349</f>
        <v>2</v>
      </c>
    </row>
    <row r="350" spans="1:7" x14ac:dyDescent="0.2">
      <c r="A350" t="str">
        <f>Louisa_wConduits_Input_CSV!B350</f>
        <v>P1485</v>
      </c>
      <c r="B350" t="str">
        <f>_xlfn.XLOOKUP(A350,[1]Conduits_Condition!$A$2:$A$389,[1]Conduits_Condition!$B$2:$B$389)</f>
        <v>DI</v>
      </c>
      <c r="C350">
        <f ca="1">YEAR(TODAY())-_xlfn.XLOOKUP(A350,InstallDate!$B$2:$B$389,InstallDate!$BD$2:$BD$389)</f>
        <v>76</v>
      </c>
      <c r="D350">
        <f>Louisa_wConduits_Input_CSV!R350</f>
        <v>34.969957809999997</v>
      </c>
      <c r="E350">
        <f>Louisa_wConduits_Input_CSV!S350</f>
        <v>6</v>
      </c>
      <c r="F350">
        <f ca="1">_xlfn.XLOOKUP(A350,[1]LEYP_Input!A$2:A$389,[1]LEYP_Input!$C$2:$C$389)</f>
        <v>1</v>
      </c>
      <c r="G350">
        <f>Louisa_wConduits_Input_CSV!AZ350</f>
        <v>2</v>
      </c>
    </row>
    <row r="351" spans="1:7" x14ac:dyDescent="0.2">
      <c r="A351" t="str">
        <f>Louisa_wConduits_Input_CSV!B351</f>
        <v>P1487</v>
      </c>
      <c r="B351" t="str">
        <f>_xlfn.XLOOKUP(A351,[1]Conduits_Condition!$A$2:$A$389,[1]Conduits_Condition!$B$2:$B$389)</f>
        <v>DI</v>
      </c>
      <c r="C351">
        <f ca="1">YEAR(TODAY())-_xlfn.XLOOKUP(A351,InstallDate!$B$2:$B$389,InstallDate!$BD$2:$BD$389)</f>
        <v>76</v>
      </c>
      <c r="D351">
        <f>Louisa_wConduits_Input_CSV!R351</f>
        <v>630.85740880000003</v>
      </c>
      <c r="E351">
        <f>Louisa_wConduits_Input_CSV!S351</f>
        <v>6</v>
      </c>
      <c r="F351">
        <f ca="1">_xlfn.XLOOKUP(A351,[1]LEYP_Input!A$2:A$389,[1]LEYP_Input!$C$2:$C$389)</f>
        <v>1</v>
      </c>
      <c r="G351">
        <f>Louisa_wConduits_Input_CSV!AZ351</f>
        <v>2</v>
      </c>
    </row>
    <row r="352" spans="1:7" x14ac:dyDescent="0.2">
      <c r="A352" t="str">
        <f>Louisa_wConduits_Input_CSV!B352</f>
        <v>P1489</v>
      </c>
      <c r="B352" t="str">
        <f>_xlfn.XLOOKUP(A352,[1]Conduits_Condition!$A$2:$A$389,[1]Conduits_Condition!$B$2:$B$389)</f>
        <v>DI</v>
      </c>
      <c r="C352">
        <f ca="1">YEAR(TODAY())-_xlfn.XLOOKUP(A352,InstallDate!$B$2:$B$389,InstallDate!$BD$2:$BD$389)</f>
        <v>76</v>
      </c>
      <c r="D352">
        <f>Louisa_wConduits_Input_CSV!R352</f>
        <v>32.060694859999998</v>
      </c>
      <c r="E352">
        <f>Louisa_wConduits_Input_CSV!S352</f>
        <v>6</v>
      </c>
      <c r="F352">
        <f ca="1">_xlfn.XLOOKUP(A352,[1]LEYP_Input!A$2:A$389,[1]LEYP_Input!$C$2:$C$389)</f>
        <v>1</v>
      </c>
      <c r="G352">
        <f>Louisa_wConduits_Input_CSV!AZ352</f>
        <v>2</v>
      </c>
    </row>
    <row r="353" spans="1:7" x14ac:dyDescent="0.2">
      <c r="A353" t="str">
        <f>Louisa_wConduits_Input_CSV!B353</f>
        <v>P1491</v>
      </c>
      <c r="B353" t="str">
        <f>_xlfn.XLOOKUP(A353,[1]Conduits_Condition!$A$2:$A$389,[1]Conduits_Condition!$B$2:$B$389)</f>
        <v>DI</v>
      </c>
      <c r="C353">
        <f ca="1">YEAR(TODAY())-_xlfn.XLOOKUP(A353,InstallDate!$B$2:$B$389,InstallDate!$BD$2:$BD$389)</f>
        <v>26</v>
      </c>
      <c r="D353">
        <f>Louisa_wConduits_Input_CSV!R353</f>
        <v>52.684601260000001</v>
      </c>
      <c r="E353">
        <f>Louisa_wConduits_Input_CSV!S353</f>
        <v>6</v>
      </c>
      <c r="F353">
        <f ca="1">_xlfn.XLOOKUP(A353,[1]LEYP_Input!A$2:A$389,[1]LEYP_Input!$C$2:$C$389)</f>
        <v>2</v>
      </c>
      <c r="G353">
        <f>Louisa_wConduits_Input_CSV!AZ353</f>
        <v>1</v>
      </c>
    </row>
    <row r="354" spans="1:7" x14ac:dyDescent="0.2">
      <c r="A354" t="str">
        <f>Louisa_wConduits_Input_CSV!B354</f>
        <v>P1493</v>
      </c>
      <c r="B354" t="str">
        <f>_xlfn.XLOOKUP(A354,[1]Conduits_Condition!$A$2:$A$389,[1]Conduits_Condition!$B$2:$B$389)</f>
        <v>DI</v>
      </c>
      <c r="C354">
        <f ca="1">YEAR(TODAY())-_xlfn.XLOOKUP(A354,InstallDate!$B$2:$B$389,InstallDate!$BD$2:$BD$389)</f>
        <v>26</v>
      </c>
      <c r="D354">
        <f>Louisa_wConduits_Input_CSV!R354</f>
        <v>1053.3408509999999</v>
      </c>
      <c r="E354">
        <f>Louisa_wConduits_Input_CSV!S354</f>
        <v>6</v>
      </c>
      <c r="F354">
        <f ca="1">_xlfn.XLOOKUP(A354,[1]LEYP_Input!A$2:A$389,[1]LEYP_Input!$C$2:$C$389)</f>
        <v>2</v>
      </c>
      <c r="G354">
        <f>Louisa_wConduits_Input_CSV!AZ354</f>
        <v>1</v>
      </c>
    </row>
    <row r="355" spans="1:7" x14ac:dyDescent="0.2">
      <c r="A355" t="str">
        <f>Louisa_wConduits_Input_CSV!B355</f>
        <v>P1495</v>
      </c>
      <c r="B355" t="str">
        <f>_xlfn.XLOOKUP(A355,[1]Conduits_Condition!$A$2:$A$389,[1]Conduits_Condition!$B$2:$B$389)</f>
        <v>DI</v>
      </c>
      <c r="C355">
        <f ca="1">YEAR(TODAY())-_xlfn.XLOOKUP(A355,InstallDate!$B$2:$B$389,InstallDate!$BD$2:$BD$389)</f>
        <v>26</v>
      </c>
      <c r="D355">
        <f>Louisa_wConduits_Input_CSV!R355</f>
        <v>754.21066410000003</v>
      </c>
      <c r="E355">
        <f>Louisa_wConduits_Input_CSV!S355</f>
        <v>6</v>
      </c>
      <c r="F355">
        <f ca="1">_xlfn.XLOOKUP(A355,[1]LEYP_Input!A$2:A$389,[1]LEYP_Input!$C$2:$C$389)</f>
        <v>2</v>
      </c>
      <c r="G355">
        <f>Louisa_wConduits_Input_CSV!AZ355</f>
        <v>1</v>
      </c>
    </row>
    <row r="356" spans="1:7" x14ac:dyDescent="0.2">
      <c r="A356" t="str">
        <f>Louisa_wConduits_Input_CSV!B356</f>
        <v>P1497</v>
      </c>
      <c r="B356" t="str">
        <f>_xlfn.XLOOKUP(A356,[1]Conduits_Condition!$A$2:$A$389,[1]Conduits_Condition!$B$2:$B$389)</f>
        <v>DI</v>
      </c>
      <c r="C356">
        <f ca="1">YEAR(TODAY())-_xlfn.XLOOKUP(A356,InstallDate!$B$2:$B$389,InstallDate!$BD$2:$BD$389)</f>
        <v>26</v>
      </c>
      <c r="D356">
        <f>Louisa_wConduits_Input_CSV!R356</f>
        <v>25.70102266</v>
      </c>
      <c r="E356">
        <f>Louisa_wConduits_Input_CSV!S356</f>
        <v>6</v>
      </c>
      <c r="F356">
        <f ca="1">_xlfn.XLOOKUP(A356,[1]LEYP_Input!A$2:A$389,[1]LEYP_Input!$C$2:$C$389)</f>
        <v>2</v>
      </c>
      <c r="G356">
        <f>Louisa_wConduits_Input_CSV!AZ356</f>
        <v>1</v>
      </c>
    </row>
    <row r="357" spans="1:7" x14ac:dyDescent="0.2">
      <c r="A357" t="str">
        <f>Louisa_wConduits_Input_CSV!B357</f>
        <v>P1499</v>
      </c>
      <c r="B357" t="str">
        <f>_xlfn.XLOOKUP(A357,[1]Conduits_Condition!$A$2:$A$389,[1]Conduits_Condition!$B$2:$B$389)</f>
        <v>Default</v>
      </c>
      <c r="C357">
        <f ca="1">YEAR(TODAY())-_xlfn.XLOOKUP(A357,InstallDate!$B$2:$B$389,InstallDate!$BD$2:$BD$389)</f>
        <v>26</v>
      </c>
      <c r="D357">
        <f>Louisa_wConduits_Input_CSV!R357</f>
        <v>9.8000000000000007</v>
      </c>
      <c r="E357">
        <f>Louisa_wConduits_Input_CSV!S357</f>
        <v>6</v>
      </c>
      <c r="F357">
        <f ca="1">_xlfn.XLOOKUP(A357,[1]LEYP_Input!A$2:A$389,[1]LEYP_Input!$C$2:$C$389)</f>
        <v>2</v>
      </c>
      <c r="G357">
        <f>Louisa_wConduits_Input_CSV!AZ357</f>
        <v>1</v>
      </c>
    </row>
    <row r="358" spans="1:7" x14ac:dyDescent="0.2">
      <c r="A358" t="str">
        <f>Louisa_wConduits_Input_CSV!B358</f>
        <v>P1503</v>
      </c>
      <c r="B358" t="str">
        <f>_xlfn.XLOOKUP(A358,[1]Conduits_Condition!$A$2:$A$389,[1]Conduits_Condition!$B$2:$B$389)</f>
        <v>DI</v>
      </c>
      <c r="C358">
        <f ca="1">YEAR(TODAY())-_xlfn.XLOOKUP(A358,InstallDate!$B$2:$B$389,InstallDate!$BD$2:$BD$389)</f>
        <v>26</v>
      </c>
      <c r="D358">
        <f>Louisa_wConduits_Input_CSV!R358</f>
        <v>1047.162738</v>
      </c>
      <c r="E358">
        <f>Louisa_wConduits_Input_CSV!S358</f>
        <v>6</v>
      </c>
      <c r="F358">
        <f ca="1">_xlfn.XLOOKUP(A358,[1]LEYP_Input!A$2:A$389,[1]LEYP_Input!$C$2:$C$389)</f>
        <v>2</v>
      </c>
      <c r="G358">
        <f>Louisa_wConduits_Input_CSV!AZ358</f>
        <v>1</v>
      </c>
    </row>
    <row r="359" spans="1:7" x14ac:dyDescent="0.2">
      <c r="A359" t="str">
        <f>Louisa_wConduits_Input_CSV!B359</f>
        <v>P1505</v>
      </c>
      <c r="B359" t="str">
        <f>_xlfn.XLOOKUP(A359,[1]Conduits_Condition!$A$2:$A$389,[1]Conduits_Condition!$B$2:$B$389)</f>
        <v>DI</v>
      </c>
      <c r="C359">
        <f ca="1">YEAR(TODAY())-_xlfn.XLOOKUP(A359,InstallDate!$B$2:$B$389,InstallDate!$BD$2:$BD$389)</f>
        <v>26</v>
      </c>
      <c r="D359">
        <f>Louisa_wConduits_Input_CSV!R359</f>
        <v>579.18293170000004</v>
      </c>
      <c r="E359">
        <f>Louisa_wConduits_Input_CSV!S359</f>
        <v>6</v>
      </c>
      <c r="F359">
        <f ca="1">_xlfn.XLOOKUP(A359,[1]LEYP_Input!A$2:A$389,[1]LEYP_Input!$C$2:$C$389)</f>
        <v>2</v>
      </c>
      <c r="G359">
        <f>Louisa_wConduits_Input_CSV!AZ359</f>
        <v>1</v>
      </c>
    </row>
    <row r="360" spans="1:7" x14ac:dyDescent="0.2">
      <c r="A360" t="str">
        <f>Louisa_wConduits_Input_CSV!B360</f>
        <v>P1507</v>
      </c>
      <c r="B360" t="str">
        <f>_xlfn.XLOOKUP(A360,[1]Conduits_Condition!$A$2:$A$389,[1]Conduits_Condition!$B$2:$B$389)</f>
        <v>DI</v>
      </c>
      <c r="C360">
        <f ca="1">YEAR(TODAY())-_xlfn.XLOOKUP(A360,InstallDate!$B$2:$B$389,InstallDate!$BD$2:$BD$389)</f>
        <v>26</v>
      </c>
      <c r="D360">
        <f>Louisa_wConduits_Input_CSV!R360</f>
        <v>41.573105849999997</v>
      </c>
      <c r="E360">
        <f>Louisa_wConduits_Input_CSV!S360</f>
        <v>6</v>
      </c>
      <c r="F360">
        <f ca="1">_xlfn.XLOOKUP(A360,[1]LEYP_Input!A$2:A$389,[1]LEYP_Input!$C$2:$C$389)</f>
        <v>2</v>
      </c>
      <c r="G360">
        <f>Louisa_wConduits_Input_CSV!AZ360</f>
        <v>3</v>
      </c>
    </row>
    <row r="361" spans="1:7" x14ac:dyDescent="0.2">
      <c r="A361" t="str">
        <f>Louisa_wConduits_Input_CSV!B361</f>
        <v>P1509</v>
      </c>
      <c r="B361" t="str">
        <f>_xlfn.XLOOKUP(A361,[1]Conduits_Condition!$A$2:$A$389,[1]Conduits_Condition!$B$2:$B$389)</f>
        <v>DI</v>
      </c>
      <c r="C361">
        <f ca="1">YEAR(TODAY())-_xlfn.XLOOKUP(A361,InstallDate!$B$2:$B$389,InstallDate!$BD$2:$BD$389)</f>
        <v>26</v>
      </c>
      <c r="D361">
        <f>Louisa_wConduits_Input_CSV!R361</f>
        <v>108.0467795</v>
      </c>
      <c r="E361">
        <f>Louisa_wConduits_Input_CSV!S361</f>
        <v>6</v>
      </c>
      <c r="F361">
        <f ca="1">_xlfn.XLOOKUP(A361,[1]LEYP_Input!A$2:A$389,[1]LEYP_Input!$C$2:$C$389)</f>
        <v>2</v>
      </c>
      <c r="G361">
        <f>Louisa_wConduits_Input_CSV!AZ361</f>
        <v>3</v>
      </c>
    </row>
    <row r="362" spans="1:7" x14ac:dyDescent="0.2">
      <c r="A362" t="str">
        <f>Louisa_wConduits_Input_CSV!B362</f>
        <v>P1511</v>
      </c>
      <c r="B362" t="str">
        <f>_xlfn.XLOOKUP(A362,[1]Conduits_Condition!$A$2:$A$389,[1]Conduits_Condition!$B$2:$B$389)</f>
        <v>DI</v>
      </c>
      <c r="C362">
        <f ca="1">YEAR(TODAY())-_xlfn.XLOOKUP(A362,InstallDate!$B$2:$B$389,InstallDate!$BD$2:$BD$389)</f>
        <v>26</v>
      </c>
      <c r="D362">
        <f>Louisa_wConduits_Input_CSV!R362</f>
        <v>261.9393925</v>
      </c>
      <c r="E362">
        <f>Louisa_wConduits_Input_CSV!S362</f>
        <v>6</v>
      </c>
      <c r="F362">
        <f ca="1">_xlfn.XLOOKUP(A362,[1]LEYP_Input!A$2:A$389,[1]LEYP_Input!$C$2:$C$389)</f>
        <v>2</v>
      </c>
      <c r="G362">
        <f>Louisa_wConduits_Input_CSV!AZ362</f>
        <v>3</v>
      </c>
    </row>
    <row r="363" spans="1:7" x14ac:dyDescent="0.2">
      <c r="A363" t="str">
        <f>Louisa_wConduits_Input_CSV!B363</f>
        <v>P1513</v>
      </c>
      <c r="B363" t="str">
        <f>_xlfn.XLOOKUP(A363,[1]Conduits_Condition!$A$2:$A$389,[1]Conduits_Condition!$B$2:$B$389)</f>
        <v>DI</v>
      </c>
      <c r="C363">
        <f ca="1">YEAR(TODAY())-_xlfn.XLOOKUP(A363,InstallDate!$B$2:$B$389,InstallDate!$BD$2:$BD$389)</f>
        <v>26</v>
      </c>
      <c r="D363">
        <f>Louisa_wConduits_Input_CSV!R363</f>
        <v>603.04106590000004</v>
      </c>
      <c r="E363">
        <f>Louisa_wConduits_Input_CSV!S363</f>
        <v>6</v>
      </c>
      <c r="F363">
        <f ca="1">_xlfn.XLOOKUP(A363,[1]LEYP_Input!A$2:A$389,[1]LEYP_Input!$C$2:$C$389)</f>
        <v>2</v>
      </c>
      <c r="G363">
        <f>Louisa_wConduits_Input_CSV!AZ363</f>
        <v>3</v>
      </c>
    </row>
    <row r="364" spans="1:7" x14ac:dyDescent="0.2">
      <c r="A364" t="str">
        <f>Louisa_wConduits_Input_CSV!B364</f>
        <v>P1515</v>
      </c>
      <c r="B364" t="str">
        <f>_xlfn.XLOOKUP(A364,[1]Conduits_Condition!$A$2:$A$389,[1]Conduits_Condition!$B$2:$B$389)</f>
        <v>DI</v>
      </c>
      <c r="C364">
        <f ca="1">YEAR(TODAY())-_xlfn.XLOOKUP(A364,InstallDate!$B$2:$B$389,InstallDate!$BD$2:$BD$389)</f>
        <v>46</v>
      </c>
      <c r="D364">
        <f>Louisa_wConduits_Input_CSV!R364</f>
        <v>2548.4465599999999</v>
      </c>
      <c r="E364">
        <f>Louisa_wConduits_Input_CSV!S364</f>
        <v>6</v>
      </c>
      <c r="F364">
        <f ca="1">_xlfn.XLOOKUP(A364,[1]LEYP_Input!A$2:A$389,[1]LEYP_Input!$C$2:$C$389)</f>
        <v>1</v>
      </c>
      <c r="G364">
        <f>Louisa_wConduits_Input_CSV!AZ364</f>
        <v>1</v>
      </c>
    </row>
    <row r="365" spans="1:7" x14ac:dyDescent="0.2">
      <c r="A365" t="str">
        <f>Louisa_wConduits_Input_CSV!B365</f>
        <v>P1517</v>
      </c>
      <c r="B365" t="str">
        <f>_xlfn.XLOOKUP(A365,[1]Conduits_Condition!$A$2:$A$389,[1]Conduits_Condition!$B$2:$B$389)</f>
        <v>DI</v>
      </c>
      <c r="C365">
        <f ca="1">YEAR(TODAY())-_xlfn.XLOOKUP(A365,InstallDate!$B$2:$B$389,InstallDate!$BD$2:$BD$389)</f>
        <v>46</v>
      </c>
      <c r="D365">
        <f>Louisa_wConduits_Input_CSV!R365</f>
        <v>4148.8420809999998</v>
      </c>
      <c r="E365">
        <f>Louisa_wConduits_Input_CSV!S365</f>
        <v>6</v>
      </c>
      <c r="F365">
        <f ca="1">_xlfn.XLOOKUP(A365,[1]LEYP_Input!A$2:A$389,[1]LEYP_Input!$C$2:$C$389)</f>
        <v>1</v>
      </c>
      <c r="G365">
        <f>Louisa_wConduits_Input_CSV!AZ365</f>
        <v>2</v>
      </c>
    </row>
    <row r="366" spans="1:7" x14ac:dyDescent="0.2">
      <c r="A366" t="str">
        <f>Louisa_wConduits_Input_CSV!B366</f>
        <v>P1519</v>
      </c>
      <c r="B366" t="str">
        <f>_xlfn.XLOOKUP(A366,[1]Conduits_Condition!$A$2:$A$389,[1]Conduits_Condition!$B$2:$B$389)</f>
        <v>DI</v>
      </c>
      <c r="C366">
        <f ca="1">YEAR(TODAY())-_xlfn.XLOOKUP(A366,InstallDate!$B$2:$B$389,InstallDate!$BD$2:$BD$389)</f>
        <v>46</v>
      </c>
      <c r="D366">
        <f>Louisa_wConduits_Input_CSV!R366</f>
        <v>403.30396100000002</v>
      </c>
      <c r="E366">
        <f>Louisa_wConduits_Input_CSV!S366</f>
        <v>6</v>
      </c>
      <c r="F366">
        <f ca="1">_xlfn.XLOOKUP(A366,[1]LEYP_Input!A$2:A$389,[1]LEYP_Input!$C$2:$C$389)</f>
        <v>1</v>
      </c>
      <c r="G366">
        <f>Louisa_wConduits_Input_CSV!AZ366</f>
        <v>2</v>
      </c>
    </row>
    <row r="367" spans="1:7" x14ac:dyDescent="0.2">
      <c r="A367" t="str">
        <f>Louisa_wConduits_Input_CSV!B367</f>
        <v>P1521</v>
      </c>
      <c r="B367" t="str">
        <f>_xlfn.XLOOKUP(A367,[1]Conduits_Condition!$A$2:$A$389,[1]Conduits_Condition!$B$2:$B$389)</f>
        <v>DI</v>
      </c>
      <c r="C367">
        <f ca="1">YEAR(TODAY())-_xlfn.XLOOKUP(A367,InstallDate!$B$2:$B$389,InstallDate!$BD$2:$BD$389)</f>
        <v>46</v>
      </c>
      <c r="D367">
        <f>Louisa_wConduits_Input_CSV!R367</f>
        <v>2366.1774409999998</v>
      </c>
      <c r="E367">
        <f>Louisa_wConduits_Input_CSV!S367</f>
        <v>6</v>
      </c>
      <c r="F367">
        <f ca="1">_xlfn.XLOOKUP(A367,[1]LEYP_Input!A$2:A$389,[1]LEYP_Input!$C$2:$C$389)</f>
        <v>1</v>
      </c>
      <c r="G367">
        <f>Louisa_wConduits_Input_CSV!AZ367</f>
        <v>2</v>
      </c>
    </row>
    <row r="368" spans="1:7" x14ac:dyDescent="0.2">
      <c r="A368" t="str">
        <f>Louisa_wConduits_Input_CSV!B368</f>
        <v>P1523</v>
      </c>
      <c r="B368" t="str">
        <f>_xlfn.XLOOKUP(A368,[1]Conduits_Condition!$A$2:$A$389,[1]Conduits_Condition!$B$2:$B$389)</f>
        <v>DI</v>
      </c>
      <c r="C368">
        <f ca="1">YEAR(TODAY())-_xlfn.XLOOKUP(A368,InstallDate!$B$2:$B$389,InstallDate!$BD$2:$BD$389)</f>
        <v>46</v>
      </c>
      <c r="D368">
        <f>Louisa_wConduits_Input_CSV!R368</f>
        <v>554.19152880000001</v>
      </c>
      <c r="E368">
        <f>Louisa_wConduits_Input_CSV!S368</f>
        <v>6</v>
      </c>
      <c r="F368">
        <f ca="1">_xlfn.XLOOKUP(A368,[1]LEYP_Input!A$2:A$389,[1]LEYP_Input!$C$2:$C$389)</f>
        <v>1</v>
      </c>
      <c r="G368">
        <f>Louisa_wConduits_Input_CSV!AZ368</f>
        <v>2</v>
      </c>
    </row>
    <row r="369" spans="1:7" x14ac:dyDescent="0.2">
      <c r="A369" t="str">
        <f>Louisa_wConduits_Input_CSV!B369</f>
        <v>P1525</v>
      </c>
      <c r="B369" t="str">
        <f>_xlfn.XLOOKUP(A369,[1]Conduits_Condition!$A$2:$A$389,[1]Conduits_Condition!$B$2:$B$389)</f>
        <v>DI</v>
      </c>
      <c r="C369">
        <f ca="1">YEAR(TODAY())-_xlfn.XLOOKUP(A369,InstallDate!$B$2:$B$389,InstallDate!$BD$2:$BD$389)</f>
        <v>46</v>
      </c>
      <c r="D369">
        <f>Louisa_wConduits_Input_CSV!R369</f>
        <v>378.22383919999999</v>
      </c>
      <c r="E369">
        <f>Louisa_wConduits_Input_CSV!S369</f>
        <v>6</v>
      </c>
      <c r="F369">
        <f ca="1">_xlfn.XLOOKUP(A369,[1]LEYP_Input!A$2:A$389,[1]LEYP_Input!$C$2:$C$389)</f>
        <v>1</v>
      </c>
      <c r="G369">
        <f>Louisa_wConduits_Input_CSV!AZ369</f>
        <v>2</v>
      </c>
    </row>
    <row r="370" spans="1:7" x14ac:dyDescent="0.2">
      <c r="A370" t="str">
        <f>Louisa_wConduits_Input_CSV!B370</f>
        <v>P1527</v>
      </c>
      <c r="B370" t="str">
        <f>_xlfn.XLOOKUP(A370,[1]Conduits_Condition!$A$2:$A$389,[1]Conduits_Condition!$B$2:$B$389)</f>
        <v>DI</v>
      </c>
      <c r="C370">
        <f ca="1">YEAR(TODAY())-_xlfn.XLOOKUP(A370,InstallDate!$B$2:$B$389,InstallDate!$BD$2:$BD$389)</f>
        <v>46</v>
      </c>
      <c r="D370">
        <f>Louisa_wConduits_Input_CSV!R370</f>
        <v>1513.8028179999999</v>
      </c>
      <c r="E370">
        <f>Louisa_wConduits_Input_CSV!S370</f>
        <v>6</v>
      </c>
      <c r="F370">
        <f ca="1">_xlfn.XLOOKUP(A370,[1]LEYP_Input!A$2:A$389,[1]LEYP_Input!$C$2:$C$389)</f>
        <v>1</v>
      </c>
      <c r="G370">
        <f>Louisa_wConduits_Input_CSV!AZ370</f>
        <v>3</v>
      </c>
    </row>
    <row r="371" spans="1:7" x14ac:dyDescent="0.2">
      <c r="A371" t="str">
        <f>Louisa_wConduits_Input_CSV!B371</f>
        <v>P1529</v>
      </c>
      <c r="B371" t="str">
        <f>_xlfn.XLOOKUP(A371,[1]Conduits_Condition!$A$2:$A$389,[1]Conduits_Condition!$B$2:$B$389)</f>
        <v>DI</v>
      </c>
      <c r="C371">
        <f ca="1">YEAR(TODAY())-_xlfn.XLOOKUP(A371,InstallDate!$B$2:$B$389,InstallDate!$BD$2:$BD$389)</f>
        <v>46</v>
      </c>
      <c r="D371">
        <f>Louisa_wConduits_Input_CSV!R371</f>
        <v>846.72602229999995</v>
      </c>
      <c r="E371">
        <f>Louisa_wConduits_Input_CSV!S371</f>
        <v>6</v>
      </c>
      <c r="F371">
        <f ca="1">_xlfn.XLOOKUP(A371,[1]LEYP_Input!A$2:A$389,[1]LEYP_Input!$C$2:$C$389)</f>
        <v>1</v>
      </c>
      <c r="G371">
        <f>Louisa_wConduits_Input_CSV!AZ371</f>
        <v>2</v>
      </c>
    </row>
    <row r="372" spans="1:7" x14ac:dyDescent="0.2">
      <c r="A372" t="str">
        <f>Louisa_wConduits_Input_CSV!B372</f>
        <v>P1531</v>
      </c>
      <c r="B372" t="str">
        <f>_xlfn.XLOOKUP(A372,[1]Conduits_Condition!$A$2:$A$389,[1]Conduits_Condition!$B$2:$B$389)</f>
        <v>DI</v>
      </c>
      <c r="C372">
        <f ca="1">YEAR(TODAY())-_xlfn.XLOOKUP(A372,InstallDate!$B$2:$B$389,InstallDate!$BD$2:$BD$389)</f>
        <v>46</v>
      </c>
      <c r="D372">
        <f>Louisa_wConduits_Input_CSV!R372</f>
        <v>547.92302519999998</v>
      </c>
      <c r="E372">
        <f>Louisa_wConduits_Input_CSV!S372</f>
        <v>6</v>
      </c>
      <c r="F372">
        <f ca="1">_xlfn.XLOOKUP(A372,[1]LEYP_Input!A$2:A$389,[1]LEYP_Input!$C$2:$C$389)</f>
        <v>1</v>
      </c>
      <c r="G372">
        <f>Louisa_wConduits_Input_CSV!AZ372</f>
        <v>2</v>
      </c>
    </row>
    <row r="373" spans="1:7" x14ac:dyDescent="0.2">
      <c r="A373" t="str">
        <f>Louisa_wConduits_Input_CSV!B373</f>
        <v>P1533</v>
      </c>
      <c r="B373" t="str">
        <f>_xlfn.XLOOKUP(A373,[1]Conduits_Condition!$A$2:$A$389,[1]Conduits_Condition!$B$2:$B$389)</f>
        <v>DI</v>
      </c>
      <c r="C373">
        <f ca="1">YEAR(TODAY())-_xlfn.XLOOKUP(A373,InstallDate!$B$2:$B$389,InstallDate!$BD$2:$BD$389)</f>
        <v>46</v>
      </c>
      <c r="D373">
        <f>Louisa_wConduits_Input_CSV!R373</f>
        <v>178.69563529999999</v>
      </c>
      <c r="E373">
        <f>Louisa_wConduits_Input_CSV!S373</f>
        <v>6</v>
      </c>
      <c r="F373">
        <f ca="1">_xlfn.XLOOKUP(A373,[1]LEYP_Input!A$2:A$389,[1]LEYP_Input!$C$2:$C$389)</f>
        <v>1</v>
      </c>
      <c r="G373">
        <f>Louisa_wConduits_Input_CSV!AZ373</f>
        <v>2</v>
      </c>
    </row>
    <row r="374" spans="1:7" x14ac:dyDescent="0.2">
      <c r="A374" t="str">
        <f>Louisa_wConduits_Input_CSV!B374</f>
        <v>P1535</v>
      </c>
      <c r="B374" t="str">
        <f>_xlfn.XLOOKUP(A374,[1]Conduits_Condition!$A$2:$A$389,[1]Conduits_Condition!$B$2:$B$389)</f>
        <v>DI</v>
      </c>
      <c r="C374">
        <f ca="1">YEAR(TODAY())-_xlfn.XLOOKUP(A374,InstallDate!$B$2:$B$389,InstallDate!$BD$2:$BD$389)</f>
        <v>26</v>
      </c>
      <c r="D374">
        <f>Louisa_wConduits_Input_CSV!R374</f>
        <v>5347.6092939999999</v>
      </c>
      <c r="E374">
        <f>Louisa_wConduits_Input_CSV!S374</f>
        <v>6</v>
      </c>
      <c r="F374">
        <f ca="1">_xlfn.XLOOKUP(A374,[1]LEYP_Input!A$2:A$389,[1]LEYP_Input!$C$2:$C$389)</f>
        <v>2</v>
      </c>
      <c r="G374">
        <f>Louisa_wConduits_Input_CSV!AZ374</f>
        <v>3</v>
      </c>
    </row>
    <row r="375" spans="1:7" x14ac:dyDescent="0.2">
      <c r="A375" t="str">
        <f>Louisa_wConduits_Input_CSV!B375</f>
        <v>P1537</v>
      </c>
      <c r="B375" t="str">
        <f>_xlfn.XLOOKUP(A375,[1]Conduits_Condition!$A$2:$A$389,[1]Conduits_Condition!$B$2:$B$389)</f>
        <v>PVC</v>
      </c>
      <c r="C375">
        <f ca="1">YEAR(TODAY())-_xlfn.XLOOKUP(A375,InstallDate!$B$2:$B$389,InstallDate!$BD$2:$BD$389)</f>
        <v>26</v>
      </c>
      <c r="D375">
        <f>Louisa_wConduits_Input_CSV!R375</f>
        <v>439.05360209999998</v>
      </c>
      <c r="E375">
        <f>Louisa_wConduits_Input_CSV!S375</f>
        <v>2</v>
      </c>
      <c r="F375">
        <f ca="1">_xlfn.XLOOKUP(A375,[1]LEYP_Input!A$2:A$389,[1]LEYP_Input!$C$2:$C$389)</f>
        <v>2</v>
      </c>
      <c r="G375">
        <f>Louisa_wConduits_Input_CSV!AZ375</f>
        <v>1</v>
      </c>
    </row>
    <row r="376" spans="1:7" x14ac:dyDescent="0.2">
      <c r="A376" t="str">
        <f>Louisa_wConduits_Input_CSV!B376</f>
        <v>P1539</v>
      </c>
      <c r="B376" t="str">
        <f>_xlfn.XLOOKUP(A376,[1]Conduits_Condition!$A$2:$A$389,[1]Conduits_Condition!$B$2:$B$389)</f>
        <v>DI</v>
      </c>
      <c r="C376">
        <f ca="1">YEAR(TODAY())-_xlfn.XLOOKUP(A376,InstallDate!$B$2:$B$389,InstallDate!$BD$2:$BD$389)</f>
        <v>26</v>
      </c>
      <c r="D376">
        <f>Louisa_wConduits_Input_CSV!R376</f>
        <v>823.85138759999995</v>
      </c>
      <c r="E376">
        <f>Louisa_wConduits_Input_CSV!S376</f>
        <v>6</v>
      </c>
      <c r="F376">
        <f ca="1">_xlfn.XLOOKUP(A376,[1]LEYP_Input!A$2:A$389,[1]LEYP_Input!$C$2:$C$389)</f>
        <v>2</v>
      </c>
      <c r="G376">
        <f>Louisa_wConduits_Input_CSV!AZ376</f>
        <v>1</v>
      </c>
    </row>
    <row r="377" spans="1:7" x14ac:dyDescent="0.2">
      <c r="A377" t="str">
        <f>Louisa_wConduits_Input_CSV!B377</f>
        <v>P1541</v>
      </c>
      <c r="B377" t="str">
        <f>_xlfn.XLOOKUP(A377,[1]Conduits_Condition!$A$2:$A$389,[1]Conduits_Condition!$B$2:$B$389)</f>
        <v>DI</v>
      </c>
      <c r="C377">
        <f ca="1">YEAR(TODAY())-_xlfn.XLOOKUP(A377,InstallDate!$B$2:$B$389,InstallDate!$BD$2:$BD$389)</f>
        <v>96</v>
      </c>
      <c r="D377">
        <f>Louisa_wConduits_Input_CSV!R377</f>
        <v>197.0727972</v>
      </c>
      <c r="E377">
        <f>Louisa_wConduits_Input_CSV!S377</f>
        <v>6</v>
      </c>
      <c r="F377">
        <f ca="1">_xlfn.XLOOKUP(A377,[1]LEYP_Input!A$2:A$389,[1]LEYP_Input!$C$2:$C$389)</f>
        <v>1</v>
      </c>
      <c r="G377">
        <f>Louisa_wConduits_Input_CSV!AZ377</f>
        <v>2</v>
      </c>
    </row>
    <row r="378" spans="1:7" x14ac:dyDescent="0.2">
      <c r="A378" t="str">
        <f>Louisa_wConduits_Input_CSV!B378</f>
        <v>P1543</v>
      </c>
      <c r="B378" t="str">
        <f>_xlfn.XLOOKUP(A378,[1]Conduits_Condition!$A$2:$A$389,[1]Conduits_Condition!$B$2:$B$389)</f>
        <v>GI</v>
      </c>
      <c r="C378">
        <f ca="1">YEAR(TODAY())-_xlfn.XLOOKUP(A378,InstallDate!$B$2:$B$389,InstallDate!$BD$2:$BD$389)</f>
        <v>96</v>
      </c>
      <c r="D378">
        <f>Louisa_wConduits_Input_CSV!R378</f>
        <v>433.90236490000001</v>
      </c>
      <c r="E378">
        <f>Louisa_wConduits_Input_CSV!S378</f>
        <v>2</v>
      </c>
      <c r="F378">
        <f ca="1">_xlfn.XLOOKUP(A378,[1]LEYP_Input!A$2:A$389,[1]LEYP_Input!$C$2:$C$389)</f>
        <v>1</v>
      </c>
      <c r="G378">
        <f>Louisa_wConduits_Input_CSV!AZ378</f>
        <v>1</v>
      </c>
    </row>
    <row r="379" spans="1:7" x14ac:dyDescent="0.2">
      <c r="A379" t="str">
        <f>Louisa_wConduits_Input_CSV!B379</f>
        <v>P1545</v>
      </c>
      <c r="B379" t="str">
        <f>_xlfn.XLOOKUP(A379,[1]Conduits_Condition!$A$2:$A$389,[1]Conduits_Condition!$B$2:$B$389)</f>
        <v>GI</v>
      </c>
      <c r="C379">
        <f ca="1">YEAR(TODAY())-_xlfn.XLOOKUP(A379,InstallDate!$B$2:$B$389,InstallDate!$BD$2:$BD$389)</f>
        <v>76</v>
      </c>
      <c r="D379">
        <f>Louisa_wConduits_Input_CSV!R379</f>
        <v>29.979922810000001</v>
      </c>
      <c r="E379">
        <f>Louisa_wConduits_Input_CSV!S379</f>
        <v>2</v>
      </c>
      <c r="F379">
        <f ca="1">_xlfn.XLOOKUP(A379,[1]LEYP_Input!A$2:A$389,[1]LEYP_Input!$C$2:$C$389)</f>
        <v>1</v>
      </c>
      <c r="G379">
        <f>Louisa_wConduits_Input_CSV!AZ379</f>
        <v>1</v>
      </c>
    </row>
    <row r="380" spans="1:7" x14ac:dyDescent="0.2">
      <c r="A380" t="str">
        <f>Louisa_wConduits_Input_CSV!B380</f>
        <v>P1547</v>
      </c>
      <c r="B380" t="str">
        <f>_xlfn.XLOOKUP(A380,[1]Conduits_Condition!$A$2:$A$389,[1]Conduits_Condition!$B$2:$B$389)</f>
        <v>GI</v>
      </c>
      <c r="C380">
        <f ca="1">YEAR(TODAY())-_xlfn.XLOOKUP(A380,InstallDate!$B$2:$B$389,InstallDate!$BD$2:$BD$389)</f>
        <v>76</v>
      </c>
      <c r="D380">
        <f>Louisa_wConduits_Input_CSV!R380</f>
        <v>295.05927609999998</v>
      </c>
      <c r="E380">
        <f>Louisa_wConduits_Input_CSV!S380</f>
        <v>2</v>
      </c>
      <c r="F380">
        <f ca="1">_xlfn.XLOOKUP(A380,[1]LEYP_Input!A$2:A$389,[1]LEYP_Input!$C$2:$C$389)</f>
        <v>1</v>
      </c>
      <c r="G380">
        <f>Louisa_wConduits_Input_CSV!AZ380</f>
        <v>1</v>
      </c>
    </row>
    <row r="381" spans="1:7" x14ac:dyDescent="0.2">
      <c r="A381" t="str">
        <f>Louisa_wConduits_Input_CSV!B381</f>
        <v>P1549</v>
      </c>
      <c r="B381" t="str">
        <f>_xlfn.XLOOKUP(A381,[1]Conduits_Condition!$A$2:$A$389,[1]Conduits_Condition!$B$2:$B$389)</f>
        <v>GI</v>
      </c>
      <c r="C381">
        <f ca="1">YEAR(TODAY())-_xlfn.XLOOKUP(A381,InstallDate!$B$2:$B$389,InstallDate!$BD$2:$BD$389)</f>
        <v>26</v>
      </c>
      <c r="D381">
        <f>Louisa_wConduits_Input_CSV!R381</f>
        <v>207.2291682</v>
      </c>
      <c r="E381">
        <f>Louisa_wConduits_Input_CSV!S381</f>
        <v>2</v>
      </c>
      <c r="F381">
        <f ca="1">_xlfn.XLOOKUP(A381,[1]LEYP_Input!A$2:A$389,[1]LEYP_Input!$C$2:$C$389)</f>
        <v>2</v>
      </c>
      <c r="G381">
        <f>Louisa_wConduits_Input_CSV!AZ381</f>
        <v>1</v>
      </c>
    </row>
    <row r="382" spans="1:7" x14ac:dyDescent="0.2">
      <c r="A382" t="str">
        <f>Louisa_wConduits_Input_CSV!B382</f>
        <v>P1551</v>
      </c>
      <c r="B382" t="str">
        <f>_xlfn.XLOOKUP(A382,[1]Conduits_Condition!$A$2:$A$389,[1]Conduits_Condition!$B$2:$B$389)</f>
        <v>GI</v>
      </c>
      <c r="C382">
        <f ca="1">YEAR(TODAY())-_xlfn.XLOOKUP(A382,InstallDate!$B$2:$B$389,InstallDate!$BD$2:$BD$389)</f>
        <v>76</v>
      </c>
      <c r="D382">
        <f>Louisa_wConduits_Input_CSV!R382</f>
        <v>18.512161420000002</v>
      </c>
      <c r="E382">
        <f>Louisa_wConduits_Input_CSV!S382</f>
        <v>2</v>
      </c>
      <c r="F382">
        <f ca="1">_xlfn.XLOOKUP(A382,[1]LEYP_Input!A$2:A$389,[1]LEYP_Input!$C$2:$C$389)</f>
        <v>1</v>
      </c>
      <c r="G382">
        <f>Louisa_wConduits_Input_CSV!AZ382</f>
        <v>1</v>
      </c>
    </row>
    <row r="383" spans="1:7" x14ac:dyDescent="0.2">
      <c r="A383" t="str">
        <f>Louisa_wConduits_Input_CSV!B383</f>
        <v>P1553</v>
      </c>
      <c r="B383" t="str">
        <f>_xlfn.XLOOKUP(A383,[1]Conduits_Condition!$A$2:$A$389,[1]Conduits_Condition!$B$2:$B$389)</f>
        <v>GI</v>
      </c>
      <c r="C383">
        <f ca="1">YEAR(TODAY())-_xlfn.XLOOKUP(A383,InstallDate!$B$2:$B$389,InstallDate!$BD$2:$BD$389)</f>
        <v>96</v>
      </c>
      <c r="D383">
        <f>Louisa_wConduits_Input_CSV!R383</f>
        <v>147.95065589999999</v>
      </c>
      <c r="E383">
        <f>Louisa_wConduits_Input_CSV!S383</f>
        <v>2</v>
      </c>
      <c r="F383">
        <f ca="1">_xlfn.XLOOKUP(A383,[1]LEYP_Input!A$2:A$389,[1]LEYP_Input!$C$2:$C$389)</f>
        <v>1</v>
      </c>
      <c r="G383">
        <f>Louisa_wConduits_Input_CSV!AZ383</f>
        <v>1</v>
      </c>
    </row>
    <row r="384" spans="1:7" x14ac:dyDescent="0.2">
      <c r="A384" t="str">
        <f>Louisa_wConduits_Input_CSV!B384</f>
        <v>P1555</v>
      </c>
      <c r="B384" t="str">
        <f>_xlfn.XLOOKUP(A384,[1]Conduits_Condition!$A$2:$A$389,[1]Conduits_Condition!$B$2:$B$389)</f>
        <v>DI</v>
      </c>
      <c r="C384">
        <f ca="1">YEAR(TODAY())-_xlfn.XLOOKUP(A384,InstallDate!$B$2:$B$389,InstallDate!$BD$2:$BD$389)</f>
        <v>96</v>
      </c>
      <c r="D384">
        <f>Louisa_wConduits_Input_CSV!R384</f>
        <v>16.65931746</v>
      </c>
      <c r="E384">
        <f>Louisa_wConduits_Input_CSV!S384</f>
        <v>6</v>
      </c>
      <c r="F384">
        <f ca="1">_xlfn.XLOOKUP(A384,[1]LEYP_Input!A$2:A$389,[1]LEYP_Input!$C$2:$C$389)</f>
        <v>1</v>
      </c>
      <c r="G384">
        <f>Louisa_wConduits_Input_CSV!AZ384</f>
        <v>2</v>
      </c>
    </row>
    <row r="385" spans="1:7" x14ac:dyDescent="0.2">
      <c r="A385" t="str">
        <f>Louisa_wConduits_Input_CSV!B385</f>
        <v>P1557</v>
      </c>
      <c r="B385" t="str">
        <f>_xlfn.XLOOKUP(A385,[1]Conduits_Condition!$A$2:$A$389,[1]Conduits_Condition!$B$2:$B$389)</f>
        <v>DI</v>
      </c>
      <c r="C385">
        <f ca="1">YEAR(TODAY())-_xlfn.XLOOKUP(A385,InstallDate!$B$2:$B$389,InstallDate!$BD$2:$BD$389)</f>
        <v>96</v>
      </c>
      <c r="D385">
        <f>Louisa_wConduits_Input_CSV!R385</f>
        <v>718.31008780000002</v>
      </c>
      <c r="E385">
        <f>Louisa_wConduits_Input_CSV!S385</f>
        <v>6</v>
      </c>
      <c r="F385">
        <f ca="1">_xlfn.XLOOKUP(A385,[1]LEYP_Input!A$2:A$389,[1]LEYP_Input!$C$2:$C$389)</f>
        <v>1</v>
      </c>
      <c r="G385">
        <f>Louisa_wConduits_Input_CSV!AZ385</f>
        <v>2</v>
      </c>
    </row>
    <row r="386" spans="1:7" x14ac:dyDescent="0.2">
      <c r="A386" t="str">
        <f>Louisa_wConduits_Input_CSV!B386</f>
        <v>P1559</v>
      </c>
      <c r="B386" t="str">
        <f>_xlfn.XLOOKUP(A386,[1]Conduits_Condition!$A$2:$A$389,[1]Conduits_Condition!$B$2:$B$389)</f>
        <v>DI</v>
      </c>
      <c r="C386">
        <f ca="1">YEAR(TODAY())-_xlfn.XLOOKUP(A386,InstallDate!$B$2:$B$389,InstallDate!$BD$2:$BD$389)</f>
        <v>96</v>
      </c>
      <c r="D386">
        <f>Louisa_wConduits_Input_CSV!R386</f>
        <v>46.007285600000003</v>
      </c>
      <c r="E386">
        <f>Louisa_wConduits_Input_CSV!S386</f>
        <v>6</v>
      </c>
      <c r="F386">
        <f ca="1">_xlfn.XLOOKUP(A386,[1]LEYP_Input!A$2:A$389,[1]LEYP_Input!$C$2:$C$389)</f>
        <v>1</v>
      </c>
      <c r="G386">
        <f>Louisa_wConduits_Input_CSV!AZ386</f>
        <v>2</v>
      </c>
    </row>
    <row r="387" spans="1:7" x14ac:dyDescent="0.2">
      <c r="A387" t="str">
        <f>Louisa_wConduits_Input_CSV!B387</f>
        <v>P1561</v>
      </c>
      <c r="B387" t="str">
        <f>_xlfn.XLOOKUP(A387,[1]Conduits_Condition!$A$2:$A$389,[1]Conduits_Condition!$B$2:$B$389)</f>
        <v>DI</v>
      </c>
      <c r="C387">
        <f ca="1">YEAR(TODAY())-_xlfn.XLOOKUP(A387,InstallDate!$B$2:$B$389,InstallDate!$BD$2:$BD$389)</f>
        <v>76</v>
      </c>
      <c r="D387">
        <f>Louisa_wConduits_Input_CSV!R387</f>
        <v>13.106811069999999</v>
      </c>
      <c r="E387">
        <f>Louisa_wConduits_Input_CSV!S387</f>
        <v>6</v>
      </c>
      <c r="F387">
        <f ca="1">_xlfn.XLOOKUP(A387,[1]LEYP_Input!A$2:A$389,[1]LEYP_Input!$C$2:$C$389)</f>
        <v>1</v>
      </c>
      <c r="G387">
        <f>Louisa_wConduits_Input_CSV!AZ387</f>
        <v>2</v>
      </c>
    </row>
    <row r="388" spans="1:7" x14ac:dyDescent="0.2">
      <c r="A388" t="str">
        <f>Louisa_wConduits_Input_CSV!B388</f>
        <v>P_INTERCONNECTION</v>
      </c>
      <c r="B388" t="str">
        <f>_xlfn.XLOOKUP(A388,[1]Conduits_Condition!$A$2:$A$389,[1]Conduits_Condition!$B$2:$B$389)</f>
        <v>PVC</v>
      </c>
      <c r="C388">
        <f ca="1">YEAR(TODAY())-_xlfn.XLOOKUP(A388,InstallDate!$B$2:$B$389,InstallDate!$BD$2:$BD$389)</f>
        <v>46</v>
      </c>
      <c r="D388">
        <f>Louisa_wConduits_Input_CSV!R388</f>
        <v>579</v>
      </c>
      <c r="E388">
        <f>Louisa_wConduits_Input_CSV!S388</f>
        <v>6</v>
      </c>
      <c r="F388">
        <f ca="1">_xlfn.XLOOKUP(A388,[1]LEYP_Input!A$2:A$389,[1]LEYP_Input!$C$2:$C$389)</f>
        <v>1</v>
      </c>
      <c r="G388">
        <f>Louisa_wConduits_Input_CSV!AZ388</f>
        <v>2</v>
      </c>
    </row>
    <row r="389" spans="1:7" x14ac:dyDescent="0.2">
      <c r="A389" t="str">
        <f>Louisa_wConduits_Input_CSV!B389</f>
        <v>P2337</v>
      </c>
      <c r="B389" t="str">
        <f>_xlfn.XLOOKUP(A389,[1]Conduits_Condition!$A$2:$A$389,[1]Conduits_Condition!$B$2:$B$389)</f>
        <v>PVC</v>
      </c>
      <c r="C389">
        <f ca="1">YEAR(TODAY())-_xlfn.XLOOKUP(A389,InstallDate!$B$2:$B$389,InstallDate!$BD$2:$BD$389)</f>
        <v>26</v>
      </c>
      <c r="D389">
        <f>Louisa_wConduits_Input_CSV!R389</f>
        <v>100</v>
      </c>
      <c r="E389">
        <f>Louisa_wConduits_Input_CSV!S389</f>
        <v>6</v>
      </c>
      <c r="F389">
        <f ca="1">_xlfn.XLOOKUP(A389,[1]LEYP_Input!A$2:A$389,[1]LEYP_Input!$C$2:$C$389)</f>
        <v>2</v>
      </c>
      <c r="G389">
        <f>Louisa_wConduits_Input_CSV!AZ389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9B9B-D970-1841-8342-26E49CD19C49}">
  <dimension ref="A1:BF389"/>
  <sheetViews>
    <sheetView topLeftCell="C197" workbookViewId="0"/>
  </sheetViews>
  <sheetFormatPr baseColWidth="10" defaultRowHeight="16" x14ac:dyDescent="0.2"/>
  <cols>
    <col min="1" max="1" width="28.33203125" bestFit="1" customWidth="1"/>
    <col min="2" max="2" width="24.6640625" bestFit="1" customWidth="1"/>
    <col min="3" max="3" width="26.83203125" bestFit="1" customWidth="1"/>
    <col min="4" max="4" width="28" bestFit="1" customWidth="1"/>
    <col min="5" max="5" width="28.5" bestFit="1" customWidth="1"/>
    <col min="6" max="6" width="27.5" bestFit="1" customWidth="1"/>
    <col min="7" max="7" width="27.6640625" bestFit="1" customWidth="1"/>
    <col min="8" max="8" width="21.83203125" bestFit="1" customWidth="1"/>
    <col min="9" max="9" width="31.5" bestFit="1" customWidth="1"/>
    <col min="10" max="10" width="26.83203125" bestFit="1" customWidth="1"/>
    <col min="11" max="11" width="28.83203125" bestFit="1" customWidth="1"/>
    <col min="12" max="12" width="24.6640625" bestFit="1" customWidth="1"/>
    <col min="13" max="13" width="28" bestFit="1" customWidth="1"/>
    <col min="14" max="14" width="25.83203125" bestFit="1" customWidth="1"/>
    <col min="15" max="15" width="27.33203125" bestFit="1" customWidth="1"/>
    <col min="16" max="16" width="25.33203125" bestFit="1" customWidth="1"/>
    <col min="17" max="17" width="23.6640625" bestFit="1" customWidth="1"/>
    <col min="18" max="18" width="26.83203125" bestFit="1" customWidth="1"/>
    <col min="19" max="19" width="28.5" bestFit="1" customWidth="1"/>
    <col min="20" max="20" width="30.83203125" bestFit="1" customWidth="1"/>
    <col min="21" max="21" width="30.1640625" bestFit="1" customWidth="1"/>
    <col min="22" max="22" width="28.6640625" bestFit="1" customWidth="1"/>
    <col min="23" max="23" width="29.5" bestFit="1" customWidth="1"/>
    <col min="24" max="24" width="24.6640625" bestFit="1" customWidth="1"/>
    <col min="25" max="25" width="29.5" bestFit="1" customWidth="1"/>
    <col min="26" max="26" width="29" bestFit="1" customWidth="1"/>
    <col min="27" max="27" width="31.33203125" bestFit="1" customWidth="1"/>
    <col min="28" max="28" width="31" bestFit="1" customWidth="1"/>
    <col min="29" max="29" width="24.83203125" bestFit="1" customWidth="1"/>
    <col min="30" max="30" width="28" bestFit="1" customWidth="1"/>
    <col min="31" max="31" width="29" bestFit="1" customWidth="1"/>
    <col min="32" max="32" width="26.1640625" bestFit="1" customWidth="1"/>
    <col min="33" max="33" width="25.83203125" bestFit="1" customWidth="1"/>
    <col min="34" max="34" width="29.33203125" bestFit="1" customWidth="1"/>
    <col min="35" max="35" width="29.1640625" bestFit="1" customWidth="1"/>
    <col min="36" max="36" width="28.83203125" bestFit="1" customWidth="1"/>
    <col min="37" max="37" width="30" bestFit="1" customWidth="1"/>
    <col min="38" max="38" width="29.83203125" bestFit="1" customWidth="1"/>
    <col min="39" max="39" width="29.5" bestFit="1" customWidth="1"/>
    <col min="40" max="40" width="31.33203125" bestFit="1" customWidth="1"/>
    <col min="41" max="41" width="31.1640625" bestFit="1" customWidth="1"/>
    <col min="42" max="42" width="30.83203125" bestFit="1" customWidth="1"/>
    <col min="43" max="43" width="31.83203125" bestFit="1" customWidth="1"/>
    <col min="44" max="44" width="30" bestFit="1" customWidth="1"/>
    <col min="45" max="45" width="43.33203125" bestFit="1" customWidth="1"/>
    <col min="46" max="46" width="44.1640625" bestFit="1" customWidth="1"/>
    <col min="47" max="47" width="45" bestFit="1" customWidth="1"/>
    <col min="48" max="48" width="37.83203125" bestFit="1" customWidth="1"/>
    <col min="49" max="49" width="39.83203125" bestFit="1" customWidth="1"/>
    <col min="50" max="50" width="43" bestFit="1" customWidth="1"/>
    <col min="51" max="51" width="40.5" bestFit="1" customWidth="1"/>
    <col min="52" max="52" width="42.6640625" bestFit="1" customWidth="1"/>
    <col min="53" max="53" width="45.83203125" bestFit="1" customWidth="1"/>
    <col min="54" max="54" width="41.83203125" bestFit="1" customWidth="1"/>
    <col min="55" max="55" width="45.1640625" bestFit="1" customWidth="1"/>
    <col min="56" max="56" width="43" bestFit="1" customWidth="1"/>
    <col min="57" max="57" width="47" bestFit="1" customWidth="1"/>
    <col min="58" max="58" width="46.6640625" bestFit="1" customWidth="1"/>
  </cols>
  <sheetData>
    <row r="1" spans="1:58" x14ac:dyDescent="0.2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458</v>
      </c>
      <c r="R1" t="s">
        <v>459</v>
      </c>
      <c r="S1" t="s">
        <v>460</v>
      </c>
      <c r="T1" t="s">
        <v>461</v>
      </c>
      <c r="U1" t="s">
        <v>462</v>
      </c>
      <c r="V1" t="s">
        <v>463</v>
      </c>
      <c r="W1" t="s">
        <v>464</v>
      </c>
      <c r="X1" t="s">
        <v>465</v>
      </c>
      <c r="Y1" t="s">
        <v>466</v>
      </c>
      <c r="Z1" t="s">
        <v>467</v>
      </c>
      <c r="AA1" t="s">
        <v>468</v>
      </c>
      <c r="AB1" t="s">
        <v>469</v>
      </c>
      <c r="AC1" t="s">
        <v>470</v>
      </c>
      <c r="AD1" t="s">
        <v>471</v>
      </c>
      <c r="AE1" t="s">
        <v>472</v>
      </c>
      <c r="AF1" t="s">
        <v>473</v>
      </c>
      <c r="AG1" t="s">
        <v>474</v>
      </c>
      <c r="AH1" t="s">
        <v>475</v>
      </c>
      <c r="AI1" t="s">
        <v>476</v>
      </c>
      <c r="AJ1" t="s">
        <v>477</v>
      </c>
      <c r="AK1" t="s">
        <v>478</v>
      </c>
      <c r="AL1" t="s">
        <v>479</v>
      </c>
      <c r="AM1" t="s">
        <v>480</v>
      </c>
      <c r="AN1" t="s">
        <v>481</v>
      </c>
      <c r="AO1" t="s">
        <v>482</v>
      </c>
      <c r="AP1" t="s">
        <v>483</v>
      </c>
      <c r="AQ1" t="s">
        <v>484</v>
      </c>
      <c r="AR1" t="s">
        <v>485</v>
      </c>
      <c r="AS1" t="s">
        <v>486</v>
      </c>
      <c r="AT1" t="s">
        <v>487</v>
      </c>
      <c r="AU1" t="s">
        <v>488</v>
      </c>
      <c r="AV1" t="s">
        <v>489</v>
      </c>
      <c r="AW1" t="s">
        <v>490</v>
      </c>
      <c r="AX1" t="s">
        <v>491</v>
      </c>
      <c r="AY1" t="s">
        <v>492</v>
      </c>
      <c r="AZ1" t="s">
        <v>493</v>
      </c>
      <c r="BA1" t="s">
        <v>494</v>
      </c>
      <c r="BB1" t="s">
        <v>495</v>
      </c>
      <c r="BC1" t="s">
        <v>496</v>
      </c>
      <c r="BD1" t="s">
        <v>497</v>
      </c>
      <c r="BE1" t="s">
        <v>498</v>
      </c>
      <c r="BF1" t="s">
        <v>499</v>
      </c>
    </row>
    <row r="2" spans="1:58" x14ac:dyDescent="0.2">
      <c r="A2">
        <v>1</v>
      </c>
      <c r="B2" t="s">
        <v>44</v>
      </c>
      <c r="C2">
        <v>0</v>
      </c>
      <c r="H2" t="s">
        <v>44</v>
      </c>
      <c r="I2" t="s">
        <v>45</v>
      </c>
      <c r="Q2" t="s">
        <v>44</v>
      </c>
      <c r="R2">
        <v>49.271155159999999</v>
      </c>
      <c r="S2">
        <v>6</v>
      </c>
      <c r="T2">
        <v>130</v>
      </c>
      <c r="V2">
        <v>0</v>
      </c>
      <c r="W2">
        <v>0</v>
      </c>
      <c r="X2" t="s">
        <v>44</v>
      </c>
      <c r="Y2">
        <v>0</v>
      </c>
      <c r="Z2">
        <v>6</v>
      </c>
      <c r="AA2">
        <v>49.27</v>
      </c>
      <c r="AB2">
        <v>130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49.271155159999999</v>
      </c>
      <c r="AR2">
        <v>0</v>
      </c>
      <c r="AS2">
        <v>1</v>
      </c>
      <c r="AT2">
        <v>1</v>
      </c>
      <c r="AU2">
        <v>1</v>
      </c>
      <c r="AV2">
        <v>6</v>
      </c>
      <c r="AW2" t="s">
        <v>500</v>
      </c>
      <c r="AX2" t="s">
        <v>45</v>
      </c>
      <c r="AY2" t="s">
        <v>501</v>
      </c>
      <c r="AZ2">
        <v>1505</v>
      </c>
      <c r="BA2" t="s">
        <v>502</v>
      </c>
      <c r="BB2">
        <v>1674</v>
      </c>
      <c r="BC2" t="s">
        <v>503</v>
      </c>
      <c r="BD2">
        <v>1930</v>
      </c>
      <c r="BE2">
        <v>0</v>
      </c>
      <c r="BF2">
        <v>49.271011229999999</v>
      </c>
    </row>
    <row r="3" spans="1:58" x14ac:dyDescent="0.2">
      <c r="A3">
        <v>2</v>
      </c>
      <c r="B3" t="s">
        <v>46</v>
      </c>
      <c r="C3">
        <v>0</v>
      </c>
      <c r="H3" t="s">
        <v>46</v>
      </c>
      <c r="I3" t="s">
        <v>45</v>
      </c>
      <c r="Q3" t="s">
        <v>46</v>
      </c>
      <c r="R3">
        <v>37.541067200000001</v>
      </c>
      <c r="S3">
        <v>6</v>
      </c>
      <c r="T3">
        <v>130</v>
      </c>
      <c r="V3">
        <v>0</v>
      </c>
      <c r="W3">
        <v>0</v>
      </c>
      <c r="X3" t="s">
        <v>46</v>
      </c>
      <c r="Y3">
        <v>0</v>
      </c>
      <c r="Z3">
        <v>6</v>
      </c>
      <c r="AA3">
        <v>37.54</v>
      </c>
      <c r="AB3">
        <v>130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37.541067200000001</v>
      </c>
      <c r="AR3">
        <v>0</v>
      </c>
      <c r="AS3">
        <v>2</v>
      </c>
      <c r="AT3">
        <v>1</v>
      </c>
      <c r="AU3">
        <v>2</v>
      </c>
      <c r="AV3">
        <v>6</v>
      </c>
      <c r="AW3" t="s">
        <v>504</v>
      </c>
      <c r="AX3" t="s">
        <v>45</v>
      </c>
      <c r="AY3" t="s">
        <v>501</v>
      </c>
      <c r="AZ3">
        <v>1506</v>
      </c>
      <c r="BA3" t="s">
        <v>505</v>
      </c>
      <c r="BB3">
        <v>855</v>
      </c>
      <c r="BC3" t="s">
        <v>506</v>
      </c>
      <c r="BD3">
        <v>1930</v>
      </c>
      <c r="BE3">
        <v>0</v>
      </c>
      <c r="BF3">
        <v>37.541311299999997</v>
      </c>
    </row>
    <row r="4" spans="1:58" x14ac:dyDescent="0.2">
      <c r="A4">
        <v>3</v>
      </c>
      <c r="B4" t="s">
        <v>47</v>
      </c>
      <c r="C4">
        <v>0</v>
      </c>
      <c r="H4" t="s">
        <v>47</v>
      </c>
      <c r="I4" t="s">
        <v>45</v>
      </c>
      <c r="Q4" t="s">
        <v>47</v>
      </c>
      <c r="R4">
        <v>22.046683529999999</v>
      </c>
      <c r="S4">
        <v>6</v>
      </c>
      <c r="T4">
        <v>130</v>
      </c>
      <c r="V4">
        <v>0</v>
      </c>
      <c r="W4">
        <v>0</v>
      </c>
      <c r="X4" t="s">
        <v>47</v>
      </c>
      <c r="Y4">
        <v>0</v>
      </c>
      <c r="Z4">
        <v>6</v>
      </c>
      <c r="AA4">
        <v>22.05</v>
      </c>
      <c r="AB4">
        <v>130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22.046683529999999</v>
      </c>
      <c r="AR4">
        <v>0</v>
      </c>
      <c r="AS4">
        <v>3</v>
      </c>
      <c r="AT4">
        <v>1</v>
      </c>
      <c r="AU4">
        <v>3</v>
      </c>
      <c r="AV4">
        <v>6</v>
      </c>
      <c r="AW4" t="s">
        <v>507</v>
      </c>
      <c r="AX4" t="s">
        <v>45</v>
      </c>
      <c r="AY4" t="s">
        <v>501</v>
      </c>
      <c r="AZ4">
        <v>1507</v>
      </c>
      <c r="BA4" t="s">
        <v>508</v>
      </c>
      <c r="BB4">
        <v>1675</v>
      </c>
      <c r="BC4" t="s">
        <v>509</v>
      </c>
      <c r="BD4">
        <v>1930</v>
      </c>
      <c r="BE4">
        <v>0</v>
      </c>
      <c r="BF4">
        <v>22.04642986</v>
      </c>
    </row>
    <row r="5" spans="1:58" x14ac:dyDescent="0.2">
      <c r="A5">
        <v>4</v>
      </c>
      <c r="B5" t="s">
        <v>48</v>
      </c>
      <c r="C5">
        <v>0</v>
      </c>
      <c r="H5" t="s">
        <v>48</v>
      </c>
      <c r="I5" t="s">
        <v>45</v>
      </c>
      <c r="Q5" t="s">
        <v>48</v>
      </c>
      <c r="R5">
        <v>25.52698036</v>
      </c>
      <c r="S5">
        <v>6</v>
      </c>
      <c r="T5">
        <v>130</v>
      </c>
      <c r="V5">
        <v>0</v>
      </c>
      <c r="W5">
        <v>0</v>
      </c>
      <c r="X5" t="s">
        <v>48</v>
      </c>
      <c r="Y5">
        <v>0</v>
      </c>
      <c r="Z5">
        <v>6</v>
      </c>
      <c r="AA5">
        <v>25.53</v>
      </c>
      <c r="AB5">
        <v>130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25.52698036</v>
      </c>
      <c r="AR5">
        <v>0</v>
      </c>
      <c r="AS5">
        <v>4</v>
      </c>
      <c r="AT5">
        <v>1</v>
      </c>
      <c r="AU5">
        <v>4</v>
      </c>
      <c r="AV5">
        <v>6</v>
      </c>
      <c r="AW5" t="s">
        <v>510</v>
      </c>
      <c r="AX5" t="s">
        <v>45</v>
      </c>
      <c r="AY5" t="s">
        <v>501</v>
      </c>
      <c r="AZ5">
        <v>1508</v>
      </c>
      <c r="BA5" t="s">
        <v>511</v>
      </c>
      <c r="BB5">
        <v>1676</v>
      </c>
      <c r="BC5" t="s">
        <v>512</v>
      </c>
      <c r="BD5">
        <v>1930</v>
      </c>
      <c r="BE5">
        <v>0</v>
      </c>
      <c r="BF5">
        <v>25.526842590000001</v>
      </c>
    </row>
    <row r="6" spans="1:58" x14ac:dyDescent="0.2">
      <c r="A6">
        <v>5</v>
      </c>
      <c r="B6" t="s">
        <v>49</v>
      </c>
      <c r="C6">
        <v>0</v>
      </c>
      <c r="H6" t="s">
        <v>49</v>
      </c>
      <c r="I6" t="s">
        <v>45</v>
      </c>
      <c r="Q6" t="s">
        <v>49</v>
      </c>
      <c r="R6">
        <v>30.261046539999999</v>
      </c>
      <c r="S6">
        <v>6</v>
      </c>
      <c r="T6">
        <v>130</v>
      </c>
      <c r="V6">
        <v>0</v>
      </c>
      <c r="W6">
        <v>0</v>
      </c>
      <c r="X6" t="s">
        <v>49</v>
      </c>
      <c r="Y6">
        <v>0</v>
      </c>
      <c r="Z6">
        <v>6</v>
      </c>
      <c r="AA6">
        <v>30.26</v>
      </c>
      <c r="AB6">
        <v>130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30.261046539999999</v>
      </c>
      <c r="AR6">
        <v>0</v>
      </c>
      <c r="AS6">
        <v>5</v>
      </c>
      <c r="AT6">
        <v>1</v>
      </c>
      <c r="AU6">
        <v>5</v>
      </c>
      <c r="AV6">
        <v>6</v>
      </c>
      <c r="AW6" t="s">
        <v>513</v>
      </c>
      <c r="AX6" t="s">
        <v>45</v>
      </c>
      <c r="AY6" t="s">
        <v>501</v>
      </c>
      <c r="AZ6">
        <v>1509</v>
      </c>
      <c r="BA6" t="s">
        <v>514</v>
      </c>
      <c r="BB6">
        <v>1677</v>
      </c>
      <c r="BC6" t="s">
        <v>515</v>
      </c>
      <c r="BD6">
        <v>1930</v>
      </c>
      <c r="BE6">
        <v>0</v>
      </c>
      <c r="BF6">
        <v>30.260770969999999</v>
      </c>
    </row>
    <row r="7" spans="1:58" x14ac:dyDescent="0.2">
      <c r="A7">
        <v>6</v>
      </c>
      <c r="B7" t="s">
        <v>50</v>
      </c>
      <c r="C7">
        <v>0</v>
      </c>
      <c r="H7" t="s">
        <v>50</v>
      </c>
      <c r="I7" t="s">
        <v>45</v>
      </c>
      <c r="Q7" t="s">
        <v>50</v>
      </c>
      <c r="R7">
        <v>28.800562679999999</v>
      </c>
      <c r="S7">
        <v>6</v>
      </c>
      <c r="T7">
        <v>130</v>
      </c>
      <c r="V7">
        <v>0</v>
      </c>
      <c r="W7">
        <v>0</v>
      </c>
      <c r="X7" t="s">
        <v>50</v>
      </c>
      <c r="Y7">
        <v>0</v>
      </c>
      <c r="Z7">
        <v>6</v>
      </c>
      <c r="AA7">
        <v>28.8</v>
      </c>
      <c r="AB7">
        <v>130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28.800562679999999</v>
      </c>
      <c r="AR7">
        <v>0</v>
      </c>
      <c r="AS7">
        <v>6</v>
      </c>
      <c r="AT7">
        <v>1</v>
      </c>
      <c r="AU7">
        <v>6</v>
      </c>
      <c r="AV7">
        <v>6</v>
      </c>
      <c r="AW7" t="s">
        <v>516</v>
      </c>
      <c r="AX7" t="s">
        <v>45</v>
      </c>
      <c r="AY7" t="s">
        <v>501</v>
      </c>
      <c r="AZ7">
        <v>1510</v>
      </c>
      <c r="BA7" t="s">
        <v>517</v>
      </c>
      <c r="BB7">
        <v>1678</v>
      </c>
      <c r="BC7" t="s">
        <v>518</v>
      </c>
      <c r="BD7">
        <v>1930</v>
      </c>
      <c r="BE7">
        <v>0</v>
      </c>
      <c r="BF7">
        <v>28.800282419999998</v>
      </c>
    </row>
    <row r="8" spans="1:58" x14ac:dyDescent="0.2">
      <c r="A8">
        <v>7</v>
      </c>
      <c r="B8" t="s">
        <v>51</v>
      </c>
      <c r="C8">
        <v>0</v>
      </c>
      <c r="H8" t="s">
        <v>51</v>
      </c>
      <c r="I8" t="s">
        <v>45</v>
      </c>
      <c r="Q8" t="s">
        <v>51</v>
      </c>
      <c r="R8">
        <v>29.68609279</v>
      </c>
      <c r="S8">
        <v>6</v>
      </c>
      <c r="T8">
        <v>130</v>
      </c>
      <c r="V8">
        <v>0</v>
      </c>
      <c r="W8">
        <v>0</v>
      </c>
      <c r="X8" t="s">
        <v>51</v>
      </c>
      <c r="Y8">
        <v>0</v>
      </c>
      <c r="Z8">
        <v>6</v>
      </c>
      <c r="AA8">
        <v>29.69</v>
      </c>
      <c r="AB8">
        <v>130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29.68609279</v>
      </c>
      <c r="AR8">
        <v>0</v>
      </c>
      <c r="AS8">
        <v>7</v>
      </c>
      <c r="AT8">
        <v>1</v>
      </c>
      <c r="AU8">
        <v>7</v>
      </c>
      <c r="AV8">
        <v>6</v>
      </c>
      <c r="AW8" t="s">
        <v>519</v>
      </c>
      <c r="AX8" t="s">
        <v>45</v>
      </c>
      <c r="AY8" t="s">
        <v>501</v>
      </c>
      <c r="AZ8">
        <v>1511</v>
      </c>
      <c r="BA8" t="s">
        <v>520</v>
      </c>
      <c r="BB8">
        <v>1679</v>
      </c>
      <c r="BC8" t="s">
        <v>521</v>
      </c>
      <c r="BD8">
        <v>1930</v>
      </c>
      <c r="BE8">
        <v>0</v>
      </c>
      <c r="BF8">
        <v>29.685964120000001</v>
      </c>
    </row>
    <row r="9" spans="1:58" x14ac:dyDescent="0.2">
      <c r="A9">
        <v>8</v>
      </c>
      <c r="B9" t="s">
        <v>52</v>
      </c>
      <c r="C9">
        <v>0</v>
      </c>
      <c r="H9" t="s">
        <v>52</v>
      </c>
      <c r="I9" t="s">
        <v>45</v>
      </c>
      <c r="Q9" t="s">
        <v>52</v>
      </c>
      <c r="R9">
        <v>23.980234899999999</v>
      </c>
      <c r="S9">
        <v>6</v>
      </c>
      <c r="T9">
        <v>130</v>
      </c>
      <c r="V9">
        <v>0</v>
      </c>
      <c r="W9">
        <v>0</v>
      </c>
      <c r="X9" t="s">
        <v>52</v>
      </c>
      <c r="Y9">
        <v>0</v>
      </c>
      <c r="Z9">
        <v>6</v>
      </c>
      <c r="AA9">
        <v>23.98</v>
      </c>
      <c r="AB9">
        <v>130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23.980234899999999</v>
      </c>
      <c r="AR9">
        <v>0</v>
      </c>
      <c r="AS9">
        <v>8</v>
      </c>
      <c r="AT9">
        <v>1</v>
      </c>
      <c r="AU9">
        <v>8</v>
      </c>
      <c r="AV9">
        <v>6</v>
      </c>
      <c r="AW9" t="s">
        <v>522</v>
      </c>
      <c r="AX9" t="s">
        <v>45</v>
      </c>
      <c r="AY9" t="s">
        <v>501</v>
      </c>
      <c r="AZ9">
        <v>1512</v>
      </c>
      <c r="BA9" t="s">
        <v>523</v>
      </c>
      <c r="BB9">
        <v>1001</v>
      </c>
      <c r="BC9" t="s">
        <v>524</v>
      </c>
      <c r="BD9">
        <v>1930</v>
      </c>
      <c r="BE9">
        <v>0</v>
      </c>
      <c r="BF9">
        <v>23.98027737</v>
      </c>
    </row>
    <row r="10" spans="1:58" x14ac:dyDescent="0.2">
      <c r="A10">
        <v>9</v>
      </c>
      <c r="B10" t="s">
        <v>53</v>
      </c>
      <c r="C10">
        <v>0</v>
      </c>
      <c r="H10" t="s">
        <v>53</v>
      </c>
      <c r="I10" t="s">
        <v>45</v>
      </c>
      <c r="Q10" t="s">
        <v>53</v>
      </c>
      <c r="R10">
        <v>169.1278993</v>
      </c>
      <c r="S10">
        <v>6</v>
      </c>
      <c r="T10">
        <v>130</v>
      </c>
      <c r="V10">
        <v>0</v>
      </c>
      <c r="W10">
        <v>0</v>
      </c>
      <c r="X10" t="s">
        <v>53</v>
      </c>
      <c r="Y10">
        <v>0</v>
      </c>
      <c r="Z10">
        <v>6</v>
      </c>
      <c r="AA10">
        <v>169.13</v>
      </c>
      <c r="AB10">
        <v>130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169.1278993</v>
      </c>
      <c r="AR10">
        <v>0</v>
      </c>
      <c r="AS10">
        <v>9</v>
      </c>
      <c r="AT10">
        <v>1</v>
      </c>
      <c r="AU10">
        <v>9</v>
      </c>
      <c r="AV10">
        <v>8</v>
      </c>
      <c r="AW10" t="s">
        <v>525</v>
      </c>
      <c r="AX10" t="s">
        <v>158</v>
      </c>
      <c r="AY10" t="s">
        <v>501</v>
      </c>
      <c r="AZ10">
        <v>1680</v>
      </c>
      <c r="BA10" t="s">
        <v>526</v>
      </c>
      <c r="BB10">
        <v>866</v>
      </c>
      <c r="BC10" t="s">
        <v>527</v>
      </c>
      <c r="BD10">
        <v>1950</v>
      </c>
      <c r="BE10">
        <v>0</v>
      </c>
      <c r="BF10">
        <v>549.34872700000005</v>
      </c>
    </row>
    <row r="11" spans="1:58" x14ac:dyDescent="0.2">
      <c r="A11">
        <v>10</v>
      </c>
      <c r="B11" t="s">
        <v>54</v>
      </c>
      <c r="C11">
        <v>0</v>
      </c>
      <c r="H11" t="s">
        <v>54</v>
      </c>
      <c r="I11" t="s">
        <v>45</v>
      </c>
      <c r="Q11" t="s">
        <v>54</v>
      </c>
      <c r="R11">
        <v>14.144056920000001</v>
      </c>
      <c r="S11">
        <v>6</v>
      </c>
      <c r="T11">
        <v>130</v>
      </c>
      <c r="V11">
        <v>0</v>
      </c>
      <c r="W11">
        <v>0</v>
      </c>
      <c r="X11" t="s">
        <v>54</v>
      </c>
      <c r="Y11">
        <v>0</v>
      </c>
      <c r="Z11">
        <v>6</v>
      </c>
      <c r="AA11">
        <v>14.14</v>
      </c>
      <c r="AB11">
        <v>130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14.144056920000001</v>
      </c>
      <c r="AR11">
        <v>0</v>
      </c>
      <c r="AS11">
        <v>10</v>
      </c>
      <c r="AT11">
        <v>1</v>
      </c>
      <c r="AU11">
        <v>10</v>
      </c>
      <c r="AV11">
        <v>6</v>
      </c>
      <c r="AW11" t="s">
        <v>528</v>
      </c>
      <c r="AX11" t="s">
        <v>45</v>
      </c>
      <c r="AY11" t="s">
        <v>501</v>
      </c>
      <c r="AZ11">
        <v>1514</v>
      </c>
      <c r="BA11" t="s">
        <v>529</v>
      </c>
      <c r="BB11">
        <v>944</v>
      </c>
      <c r="BC11" t="s">
        <v>530</v>
      </c>
      <c r="BD11">
        <v>1930</v>
      </c>
      <c r="BE11">
        <v>0</v>
      </c>
      <c r="BF11">
        <v>14.144113109999999</v>
      </c>
    </row>
    <row r="12" spans="1:58" x14ac:dyDescent="0.2">
      <c r="A12">
        <v>11</v>
      </c>
      <c r="B12" t="s">
        <v>55</v>
      </c>
      <c r="C12">
        <v>0</v>
      </c>
      <c r="H12" t="s">
        <v>55</v>
      </c>
      <c r="I12" t="s">
        <v>45</v>
      </c>
      <c r="Q12" t="s">
        <v>55</v>
      </c>
      <c r="R12">
        <v>23.35630621</v>
      </c>
      <c r="S12">
        <v>6</v>
      </c>
      <c r="T12">
        <v>130</v>
      </c>
      <c r="V12">
        <v>0</v>
      </c>
      <c r="W12">
        <v>0</v>
      </c>
      <c r="X12" t="s">
        <v>55</v>
      </c>
      <c r="Y12">
        <v>0</v>
      </c>
      <c r="Z12">
        <v>6</v>
      </c>
      <c r="AA12">
        <v>23.36</v>
      </c>
      <c r="AB12">
        <v>130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23.35630621</v>
      </c>
      <c r="AR12">
        <v>0</v>
      </c>
      <c r="AS12">
        <v>11</v>
      </c>
      <c r="AT12">
        <v>1</v>
      </c>
      <c r="AU12">
        <v>11</v>
      </c>
      <c r="AV12">
        <v>6</v>
      </c>
      <c r="AW12" t="s">
        <v>531</v>
      </c>
      <c r="AX12" t="s">
        <v>146</v>
      </c>
      <c r="AY12" t="s">
        <v>501</v>
      </c>
      <c r="AZ12">
        <v>905</v>
      </c>
      <c r="BA12" t="s">
        <v>532</v>
      </c>
      <c r="BB12">
        <v>1681</v>
      </c>
      <c r="BC12" t="s">
        <v>533</v>
      </c>
      <c r="BD12">
        <v>1980</v>
      </c>
      <c r="BE12">
        <v>0</v>
      </c>
      <c r="BF12">
        <v>66.359590749999995</v>
      </c>
    </row>
    <row r="13" spans="1:58" x14ac:dyDescent="0.2">
      <c r="A13">
        <v>12</v>
      </c>
      <c r="B13" t="s">
        <v>56</v>
      </c>
      <c r="C13">
        <v>0</v>
      </c>
      <c r="H13" t="s">
        <v>56</v>
      </c>
      <c r="I13" t="s">
        <v>45</v>
      </c>
      <c r="Q13" t="s">
        <v>56</v>
      </c>
      <c r="R13">
        <v>12.92421848</v>
      </c>
      <c r="S13">
        <v>6</v>
      </c>
      <c r="T13">
        <v>130</v>
      </c>
      <c r="V13">
        <v>0</v>
      </c>
      <c r="W13">
        <v>0</v>
      </c>
      <c r="X13" t="s">
        <v>56</v>
      </c>
      <c r="Y13">
        <v>0</v>
      </c>
      <c r="Z13">
        <v>6</v>
      </c>
      <c r="AA13">
        <v>12.92</v>
      </c>
      <c r="AB13">
        <v>130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12.92421848</v>
      </c>
      <c r="AR13">
        <v>0</v>
      </c>
      <c r="AS13">
        <v>12</v>
      </c>
      <c r="AT13">
        <v>1</v>
      </c>
      <c r="AU13">
        <v>12</v>
      </c>
      <c r="AV13">
        <v>6</v>
      </c>
      <c r="AW13" t="s">
        <v>534</v>
      </c>
      <c r="AX13" t="s">
        <v>146</v>
      </c>
      <c r="AY13" t="s">
        <v>501</v>
      </c>
      <c r="AZ13">
        <v>1041</v>
      </c>
      <c r="BA13" t="s">
        <v>535</v>
      </c>
      <c r="BB13">
        <v>1682</v>
      </c>
      <c r="BC13" t="s">
        <v>536</v>
      </c>
      <c r="BD13">
        <v>1980</v>
      </c>
      <c r="BE13">
        <v>0</v>
      </c>
      <c r="BF13">
        <v>275.0212621</v>
      </c>
    </row>
    <row r="14" spans="1:58" x14ac:dyDescent="0.2">
      <c r="A14">
        <v>13</v>
      </c>
      <c r="B14" t="s">
        <v>57</v>
      </c>
      <c r="C14">
        <v>0</v>
      </c>
      <c r="H14" t="s">
        <v>57</v>
      </c>
      <c r="I14" t="s">
        <v>45</v>
      </c>
      <c r="Q14" t="s">
        <v>57</v>
      </c>
      <c r="R14">
        <v>64.144728439999994</v>
      </c>
      <c r="S14">
        <v>6</v>
      </c>
      <c r="T14">
        <v>130</v>
      </c>
      <c r="V14">
        <v>0</v>
      </c>
      <c r="W14">
        <v>0</v>
      </c>
      <c r="X14" t="s">
        <v>57</v>
      </c>
      <c r="Y14">
        <v>0</v>
      </c>
      <c r="Z14">
        <v>6</v>
      </c>
      <c r="AA14">
        <v>64.14</v>
      </c>
      <c r="AB14">
        <v>130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64.144728439999994</v>
      </c>
      <c r="AR14">
        <v>0</v>
      </c>
      <c r="AS14">
        <v>13</v>
      </c>
      <c r="AT14">
        <v>1</v>
      </c>
      <c r="AU14">
        <v>13</v>
      </c>
      <c r="AV14">
        <v>6</v>
      </c>
      <c r="AW14" t="s">
        <v>537</v>
      </c>
      <c r="AX14" t="s">
        <v>146</v>
      </c>
      <c r="AY14" t="s">
        <v>501</v>
      </c>
      <c r="AZ14">
        <v>1683</v>
      </c>
      <c r="BA14" t="s">
        <v>538</v>
      </c>
      <c r="BB14">
        <v>1041</v>
      </c>
      <c r="BC14" t="s">
        <v>535</v>
      </c>
      <c r="BD14">
        <v>1980</v>
      </c>
      <c r="BE14">
        <v>0</v>
      </c>
      <c r="BF14">
        <v>52.53767294</v>
      </c>
    </row>
    <row r="15" spans="1:58" x14ac:dyDescent="0.2">
      <c r="A15">
        <v>14</v>
      </c>
      <c r="B15" t="s">
        <v>58</v>
      </c>
      <c r="C15">
        <v>0</v>
      </c>
      <c r="H15" t="s">
        <v>58</v>
      </c>
      <c r="I15" t="s">
        <v>45</v>
      </c>
      <c r="Q15" t="s">
        <v>58</v>
      </c>
      <c r="R15">
        <v>43.590494</v>
      </c>
      <c r="S15">
        <v>6</v>
      </c>
      <c r="T15">
        <v>130</v>
      </c>
      <c r="V15">
        <v>0</v>
      </c>
      <c r="W15">
        <v>0</v>
      </c>
      <c r="X15" t="s">
        <v>58</v>
      </c>
      <c r="Y15">
        <v>0</v>
      </c>
      <c r="Z15">
        <v>6</v>
      </c>
      <c r="AA15">
        <v>43.59</v>
      </c>
      <c r="AB15">
        <v>130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43.590494</v>
      </c>
      <c r="AR15">
        <v>0</v>
      </c>
      <c r="AS15">
        <v>14</v>
      </c>
      <c r="AT15">
        <v>1</v>
      </c>
      <c r="AU15">
        <v>14</v>
      </c>
      <c r="AV15">
        <v>6</v>
      </c>
      <c r="AW15" t="s">
        <v>539</v>
      </c>
      <c r="AX15" t="s">
        <v>45</v>
      </c>
      <c r="AY15" t="s">
        <v>501</v>
      </c>
      <c r="AZ15">
        <v>1041</v>
      </c>
      <c r="BA15" t="s">
        <v>535</v>
      </c>
      <c r="BB15">
        <v>1684</v>
      </c>
      <c r="BC15" t="s">
        <v>540</v>
      </c>
      <c r="BD15">
        <v>1950</v>
      </c>
      <c r="BE15">
        <v>0</v>
      </c>
      <c r="BF15">
        <v>399.34749679999999</v>
      </c>
    </row>
    <row r="16" spans="1:58" x14ac:dyDescent="0.2">
      <c r="A16">
        <v>15</v>
      </c>
      <c r="B16" t="s">
        <v>59</v>
      </c>
      <c r="C16">
        <v>0</v>
      </c>
      <c r="H16" t="s">
        <v>59</v>
      </c>
      <c r="I16" t="s">
        <v>45</v>
      </c>
      <c r="Q16" t="s">
        <v>59</v>
      </c>
      <c r="R16">
        <v>6.0643549380000001</v>
      </c>
      <c r="S16">
        <v>6</v>
      </c>
      <c r="T16">
        <v>130</v>
      </c>
      <c r="V16">
        <v>0</v>
      </c>
      <c r="W16">
        <v>0</v>
      </c>
      <c r="X16" t="s">
        <v>59</v>
      </c>
      <c r="Y16">
        <v>0</v>
      </c>
      <c r="Z16">
        <v>6</v>
      </c>
      <c r="AA16">
        <v>6.06</v>
      </c>
      <c r="AB16">
        <v>130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6.0643549380000001</v>
      </c>
      <c r="AR16">
        <v>0</v>
      </c>
      <c r="AS16">
        <v>15</v>
      </c>
      <c r="AT16">
        <v>1</v>
      </c>
      <c r="AU16">
        <v>15</v>
      </c>
      <c r="AV16">
        <v>1.5</v>
      </c>
      <c r="AW16" t="s">
        <v>541</v>
      </c>
      <c r="AX16" t="s">
        <v>141</v>
      </c>
      <c r="AY16" t="s">
        <v>501</v>
      </c>
      <c r="AZ16">
        <v>887</v>
      </c>
      <c r="BA16" t="s">
        <v>542</v>
      </c>
      <c r="BB16">
        <v>888</v>
      </c>
      <c r="BC16" t="s">
        <v>543</v>
      </c>
      <c r="BD16">
        <v>1950</v>
      </c>
      <c r="BE16">
        <v>0</v>
      </c>
      <c r="BF16">
        <v>420.76297929999998</v>
      </c>
    </row>
    <row r="17" spans="1:58" x14ac:dyDescent="0.2">
      <c r="A17">
        <v>16</v>
      </c>
      <c r="B17" t="s">
        <v>60</v>
      </c>
      <c r="C17">
        <v>0</v>
      </c>
      <c r="H17" t="s">
        <v>60</v>
      </c>
      <c r="I17" t="s">
        <v>45</v>
      </c>
      <c r="Q17" t="s">
        <v>60</v>
      </c>
      <c r="R17">
        <v>36.335398810000001</v>
      </c>
      <c r="S17">
        <v>6</v>
      </c>
      <c r="T17">
        <v>130</v>
      </c>
      <c r="V17">
        <v>0</v>
      </c>
      <c r="W17">
        <v>0</v>
      </c>
      <c r="X17" t="s">
        <v>60</v>
      </c>
      <c r="Y17">
        <v>0</v>
      </c>
      <c r="Z17">
        <v>6</v>
      </c>
      <c r="AA17">
        <v>36.340000000000003</v>
      </c>
      <c r="AB17">
        <v>130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36.335398810000001</v>
      </c>
      <c r="AR17">
        <v>0</v>
      </c>
      <c r="AS17">
        <v>16</v>
      </c>
      <c r="AT17">
        <v>1</v>
      </c>
      <c r="AU17">
        <v>16</v>
      </c>
      <c r="AV17">
        <v>6</v>
      </c>
      <c r="AW17" t="s">
        <v>544</v>
      </c>
      <c r="AX17" t="s">
        <v>158</v>
      </c>
      <c r="AY17" t="s">
        <v>501</v>
      </c>
      <c r="AZ17">
        <v>1685</v>
      </c>
      <c r="BA17" t="s">
        <v>545</v>
      </c>
      <c r="BB17">
        <v>941</v>
      </c>
      <c r="BC17" t="s">
        <v>546</v>
      </c>
      <c r="BD17">
        <v>1950</v>
      </c>
      <c r="BE17">
        <v>0</v>
      </c>
      <c r="BF17">
        <v>341.4413098</v>
      </c>
    </row>
    <row r="18" spans="1:58" x14ac:dyDescent="0.2">
      <c r="A18">
        <v>17</v>
      </c>
      <c r="B18" t="s">
        <v>61</v>
      </c>
      <c r="C18">
        <v>0</v>
      </c>
      <c r="H18" t="s">
        <v>61</v>
      </c>
      <c r="I18" t="s">
        <v>45</v>
      </c>
      <c r="Q18" t="s">
        <v>61</v>
      </c>
      <c r="R18">
        <v>94.018540200000004</v>
      </c>
      <c r="S18">
        <v>6</v>
      </c>
      <c r="T18">
        <v>130</v>
      </c>
      <c r="V18">
        <v>0</v>
      </c>
      <c r="W18">
        <v>0</v>
      </c>
      <c r="X18" t="s">
        <v>61</v>
      </c>
      <c r="Y18">
        <v>0</v>
      </c>
      <c r="Z18">
        <v>6</v>
      </c>
      <c r="AA18">
        <v>94.02</v>
      </c>
      <c r="AB18">
        <v>130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94.018540200000004</v>
      </c>
      <c r="AR18">
        <v>0</v>
      </c>
      <c r="AS18">
        <v>17</v>
      </c>
      <c r="AT18">
        <v>1</v>
      </c>
      <c r="AU18">
        <v>17</v>
      </c>
      <c r="AV18">
        <v>6</v>
      </c>
      <c r="AW18" t="s">
        <v>547</v>
      </c>
      <c r="AX18" t="s">
        <v>45</v>
      </c>
      <c r="AY18" t="s">
        <v>501</v>
      </c>
      <c r="AZ18">
        <v>941</v>
      </c>
      <c r="BA18" t="s">
        <v>546</v>
      </c>
      <c r="BB18">
        <v>1686</v>
      </c>
      <c r="BC18" t="s">
        <v>548</v>
      </c>
      <c r="BD18">
        <v>1950</v>
      </c>
      <c r="BE18">
        <v>0</v>
      </c>
      <c r="BF18">
        <v>201.90049500000001</v>
      </c>
    </row>
    <row r="19" spans="1:58" x14ac:dyDescent="0.2">
      <c r="A19">
        <v>18</v>
      </c>
      <c r="B19" t="s">
        <v>62</v>
      </c>
      <c r="C19">
        <v>0</v>
      </c>
      <c r="H19" t="s">
        <v>62</v>
      </c>
      <c r="I19" t="s">
        <v>45</v>
      </c>
      <c r="Q19" t="s">
        <v>62</v>
      </c>
      <c r="R19">
        <v>90.921987689999995</v>
      </c>
      <c r="S19">
        <v>6</v>
      </c>
      <c r="T19">
        <v>130</v>
      </c>
      <c r="V19">
        <v>0</v>
      </c>
      <c r="W19">
        <v>0</v>
      </c>
      <c r="X19" t="s">
        <v>62</v>
      </c>
      <c r="Y19">
        <v>0</v>
      </c>
      <c r="Z19">
        <v>6</v>
      </c>
      <c r="AA19">
        <v>90.92</v>
      </c>
      <c r="AB19">
        <v>130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90.921987689999995</v>
      </c>
      <c r="AR19">
        <v>0</v>
      </c>
      <c r="AS19">
        <v>18</v>
      </c>
      <c r="AT19">
        <v>1</v>
      </c>
      <c r="AU19">
        <v>18</v>
      </c>
      <c r="AV19">
        <v>6</v>
      </c>
      <c r="AW19" t="s">
        <v>549</v>
      </c>
      <c r="AX19" t="s">
        <v>45</v>
      </c>
      <c r="AY19" t="s">
        <v>501</v>
      </c>
      <c r="AZ19">
        <v>1687</v>
      </c>
      <c r="BA19" t="s">
        <v>550</v>
      </c>
      <c r="BB19">
        <v>942</v>
      </c>
      <c r="BC19" t="s">
        <v>551</v>
      </c>
      <c r="BD19">
        <v>1950</v>
      </c>
      <c r="BE19">
        <v>0</v>
      </c>
      <c r="BF19">
        <v>210.74263759999999</v>
      </c>
    </row>
    <row r="20" spans="1:58" x14ac:dyDescent="0.2">
      <c r="A20">
        <v>19</v>
      </c>
      <c r="B20" t="s">
        <v>63</v>
      </c>
      <c r="C20">
        <v>0</v>
      </c>
      <c r="H20" t="s">
        <v>63</v>
      </c>
      <c r="I20" t="s">
        <v>45</v>
      </c>
      <c r="Q20" t="s">
        <v>63</v>
      </c>
      <c r="R20">
        <v>28.538195909999999</v>
      </c>
      <c r="S20">
        <v>6</v>
      </c>
      <c r="T20">
        <v>130</v>
      </c>
      <c r="V20">
        <v>0</v>
      </c>
      <c r="W20">
        <v>0</v>
      </c>
      <c r="X20" t="s">
        <v>63</v>
      </c>
      <c r="Y20">
        <v>0</v>
      </c>
      <c r="Z20">
        <v>6</v>
      </c>
      <c r="AA20">
        <v>28.54</v>
      </c>
      <c r="AB20">
        <v>130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28.538195909999999</v>
      </c>
      <c r="AR20">
        <v>0</v>
      </c>
      <c r="AS20">
        <v>19</v>
      </c>
      <c r="AT20">
        <v>1</v>
      </c>
      <c r="AU20">
        <v>19</v>
      </c>
      <c r="AV20">
        <v>6</v>
      </c>
      <c r="AW20" t="s">
        <v>552</v>
      </c>
      <c r="AX20" t="s">
        <v>45</v>
      </c>
      <c r="AY20" t="s">
        <v>501</v>
      </c>
      <c r="AZ20">
        <v>1523</v>
      </c>
      <c r="BA20" t="s">
        <v>553</v>
      </c>
      <c r="BB20">
        <v>1688</v>
      </c>
      <c r="BC20" t="s">
        <v>554</v>
      </c>
      <c r="BD20">
        <v>1930</v>
      </c>
      <c r="BE20">
        <v>0</v>
      </c>
      <c r="BF20">
        <v>28.538322820000001</v>
      </c>
    </row>
    <row r="21" spans="1:58" x14ac:dyDescent="0.2">
      <c r="A21">
        <v>20</v>
      </c>
      <c r="B21" t="s">
        <v>64</v>
      </c>
      <c r="C21">
        <v>0</v>
      </c>
      <c r="H21" t="s">
        <v>64</v>
      </c>
      <c r="I21" t="s">
        <v>45</v>
      </c>
      <c r="Q21" t="s">
        <v>64</v>
      </c>
      <c r="R21">
        <v>49.045546739999999</v>
      </c>
      <c r="S21">
        <v>6</v>
      </c>
      <c r="T21">
        <v>130</v>
      </c>
      <c r="V21">
        <v>0</v>
      </c>
      <c r="W21">
        <v>0</v>
      </c>
      <c r="X21" t="s">
        <v>64</v>
      </c>
      <c r="Y21">
        <v>0</v>
      </c>
      <c r="Z21">
        <v>6</v>
      </c>
      <c r="AA21">
        <v>49.05</v>
      </c>
      <c r="AB21">
        <v>130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49.045546739999999</v>
      </c>
      <c r="AR21">
        <v>0</v>
      </c>
      <c r="AS21">
        <v>20</v>
      </c>
      <c r="AT21">
        <v>1</v>
      </c>
      <c r="AU21">
        <v>20</v>
      </c>
      <c r="AV21">
        <v>6</v>
      </c>
      <c r="AW21" t="s">
        <v>555</v>
      </c>
      <c r="AX21" t="s">
        <v>45</v>
      </c>
      <c r="AY21" t="s">
        <v>501</v>
      </c>
      <c r="AZ21">
        <v>1524</v>
      </c>
      <c r="BA21" t="s">
        <v>556</v>
      </c>
      <c r="BB21">
        <v>1689</v>
      </c>
      <c r="BC21" t="s">
        <v>557</v>
      </c>
      <c r="BD21">
        <v>1930</v>
      </c>
      <c r="BE21">
        <v>0</v>
      </c>
      <c r="BF21">
        <v>49.045396150000002</v>
      </c>
    </row>
    <row r="22" spans="1:58" x14ac:dyDescent="0.2">
      <c r="A22">
        <v>21</v>
      </c>
      <c r="B22" t="s">
        <v>65</v>
      </c>
      <c r="C22">
        <v>0</v>
      </c>
      <c r="H22" t="s">
        <v>65</v>
      </c>
      <c r="I22" t="s">
        <v>45</v>
      </c>
      <c r="Q22" t="s">
        <v>65</v>
      </c>
      <c r="R22">
        <v>16.561143940000001</v>
      </c>
      <c r="S22">
        <v>6</v>
      </c>
      <c r="T22">
        <v>130</v>
      </c>
      <c r="V22">
        <v>0</v>
      </c>
      <c r="W22">
        <v>0</v>
      </c>
      <c r="X22" t="s">
        <v>65</v>
      </c>
      <c r="Y22">
        <v>0</v>
      </c>
      <c r="Z22">
        <v>6</v>
      </c>
      <c r="AA22">
        <v>16.559999999999999</v>
      </c>
      <c r="AB22">
        <v>130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16.56114393</v>
      </c>
      <c r="AR22">
        <v>0</v>
      </c>
      <c r="AS22">
        <v>21</v>
      </c>
      <c r="AT22">
        <v>1</v>
      </c>
      <c r="AU22">
        <v>21</v>
      </c>
      <c r="AV22">
        <v>6</v>
      </c>
      <c r="AW22" t="s">
        <v>558</v>
      </c>
      <c r="AX22" t="s">
        <v>45</v>
      </c>
      <c r="AY22" t="s">
        <v>501</v>
      </c>
      <c r="AZ22">
        <v>1525</v>
      </c>
      <c r="BA22" t="s">
        <v>559</v>
      </c>
      <c r="BB22">
        <v>1690</v>
      </c>
      <c r="BC22" t="s">
        <v>560</v>
      </c>
      <c r="BD22">
        <v>1930</v>
      </c>
      <c r="BE22">
        <v>0</v>
      </c>
      <c r="BF22">
        <v>16.561041230000001</v>
      </c>
    </row>
    <row r="23" spans="1:58" x14ac:dyDescent="0.2">
      <c r="A23">
        <v>22</v>
      </c>
      <c r="B23" t="s">
        <v>66</v>
      </c>
      <c r="C23">
        <v>0</v>
      </c>
      <c r="H23" t="s">
        <v>66</v>
      </c>
      <c r="I23" t="s">
        <v>45</v>
      </c>
      <c r="Q23" t="s">
        <v>66</v>
      </c>
      <c r="R23">
        <v>10.041754709999999</v>
      </c>
      <c r="S23">
        <v>6</v>
      </c>
      <c r="T23">
        <v>130</v>
      </c>
      <c r="V23">
        <v>0</v>
      </c>
      <c r="W23">
        <v>0</v>
      </c>
      <c r="X23" t="s">
        <v>66</v>
      </c>
      <c r="Y23">
        <v>0</v>
      </c>
      <c r="Z23">
        <v>6</v>
      </c>
      <c r="AA23">
        <v>10.039999999999999</v>
      </c>
      <c r="AB23">
        <v>130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10.041754709999999</v>
      </c>
      <c r="AR23">
        <v>1</v>
      </c>
      <c r="AS23">
        <v>22</v>
      </c>
      <c r="AT23">
        <v>1</v>
      </c>
      <c r="AU23">
        <v>22</v>
      </c>
      <c r="AV23">
        <v>6</v>
      </c>
      <c r="AW23" t="s">
        <v>561</v>
      </c>
      <c r="AX23" t="s">
        <v>45</v>
      </c>
      <c r="AY23" t="s">
        <v>501</v>
      </c>
      <c r="AZ23">
        <v>1526</v>
      </c>
      <c r="BA23" t="s">
        <v>562</v>
      </c>
      <c r="BB23">
        <v>955</v>
      </c>
      <c r="BC23" t="s">
        <v>563</v>
      </c>
      <c r="BD23">
        <v>1930</v>
      </c>
      <c r="BE23">
        <v>0</v>
      </c>
      <c r="BF23">
        <v>10.041727290000001</v>
      </c>
    </row>
    <row r="24" spans="1:58" x14ac:dyDescent="0.2">
      <c r="A24">
        <v>23</v>
      </c>
      <c r="B24" t="s">
        <v>67</v>
      </c>
      <c r="C24">
        <v>0</v>
      </c>
      <c r="H24" t="s">
        <v>67</v>
      </c>
      <c r="I24" t="s">
        <v>45</v>
      </c>
      <c r="Q24" t="s">
        <v>67</v>
      </c>
      <c r="R24">
        <v>13.388279470000001</v>
      </c>
      <c r="S24">
        <v>6</v>
      </c>
      <c r="T24">
        <v>130</v>
      </c>
      <c r="V24">
        <v>0</v>
      </c>
      <c r="W24">
        <v>0</v>
      </c>
      <c r="X24" t="s">
        <v>67</v>
      </c>
      <c r="Y24">
        <v>0</v>
      </c>
      <c r="Z24">
        <v>6</v>
      </c>
      <c r="AA24">
        <v>13.39</v>
      </c>
      <c r="AB24">
        <v>130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13.38827946</v>
      </c>
      <c r="AR24">
        <v>0</v>
      </c>
      <c r="AS24">
        <v>23</v>
      </c>
      <c r="AT24">
        <v>1</v>
      </c>
      <c r="AU24">
        <v>23</v>
      </c>
      <c r="AV24">
        <v>6</v>
      </c>
      <c r="AW24" t="s">
        <v>564</v>
      </c>
      <c r="AX24" t="s">
        <v>45</v>
      </c>
      <c r="AY24" t="s">
        <v>501</v>
      </c>
      <c r="AZ24">
        <v>1527</v>
      </c>
      <c r="BA24" t="s">
        <v>565</v>
      </c>
      <c r="BB24">
        <v>1691</v>
      </c>
      <c r="BC24" t="s">
        <v>566</v>
      </c>
      <c r="BD24">
        <v>1930</v>
      </c>
      <c r="BE24">
        <v>0</v>
      </c>
      <c r="BF24">
        <v>13.38831188</v>
      </c>
    </row>
    <row r="25" spans="1:58" x14ac:dyDescent="0.2">
      <c r="A25">
        <v>24</v>
      </c>
      <c r="B25" t="s">
        <v>68</v>
      </c>
      <c r="C25">
        <v>0</v>
      </c>
      <c r="H25" t="s">
        <v>68</v>
      </c>
      <c r="I25" t="s">
        <v>45</v>
      </c>
      <c r="Q25" t="s">
        <v>68</v>
      </c>
      <c r="R25">
        <v>13.749104839999999</v>
      </c>
      <c r="S25">
        <v>6</v>
      </c>
      <c r="T25">
        <v>130</v>
      </c>
      <c r="V25">
        <v>0</v>
      </c>
      <c r="W25">
        <v>0</v>
      </c>
      <c r="X25" t="s">
        <v>68</v>
      </c>
      <c r="Y25">
        <v>0</v>
      </c>
      <c r="Z25">
        <v>6</v>
      </c>
      <c r="AA25">
        <v>13.75</v>
      </c>
      <c r="AB25">
        <v>130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13.749104839999999</v>
      </c>
      <c r="AR25">
        <v>0</v>
      </c>
      <c r="AS25">
        <v>24</v>
      </c>
      <c r="AT25">
        <v>1</v>
      </c>
      <c r="AU25">
        <v>24</v>
      </c>
      <c r="AV25">
        <v>6</v>
      </c>
      <c r="AW25" t="s">
        <v>567</v>
      </c>
      <c r="AX25" t="s">
        <v>45</v>
      </c>
      <c r="AY25" t="s">
        <v>501</v>
      </c>
      <c r="AZ25">
        <v>1528</v>
      </c>
      <c r="BA25" t="s">
        <v>568</v>
      </c>
      <c r="BB25">
        <v>1692</v>
      </c>
      <c r="BC25" t="s">
        <v>569</v>
      </c>
      <c r="BD25">
        <v>1930</v>
      </c>
      <c r="BE25">
        <v>0</v>
      </c>
      <c r="BF25">
        <v>13.7492447</v>
      </c>
    </row>
    <row r="26" spans="1:58" x14ac:dyDescent="0.2">
      <c r="A26">
        <v>25</v>
      </c>
      <c r="B26" t="s">
        <v>69</v>
      </c>
      <c r="C26">
        <v>0</v>
      </c>
      <c r="H26" t="s">
        <v>69</v>
      </c>
      <c r="I26" t="s">
        <v>45</v>
      </c>
      <c r="Q26" t="s">
        <v>69</v>
      </c>
      <c r="R26">
        <v>124.5424388</v>
      </c>
      <c r="S26">
        <v>6</v>
      </c>
      <c r="T26">
        <v>130</v>
      </c>
      <c r="V26">
        <v>0</v>
      </c>
      <c r="W26">
        <v>0</v>
      </c>
      <c r="X26" t="s">
        <v>69</v>
      </c>
      <c r="Y26">
        <v>0</v>
      </c>
      <c r="Z26">
        <v>6</v>
      </c>
      <c r="AA26">
        <v>124.54</v>
      </c>
      <c r="AB26">
        <v>130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124.5424388</v>
      </c>
      <c r="AR26">
        <v>0</v>
      </c>
      <c r="AS26">
        <v>25</v>
      </c>
      <c r="AT26">
        <v>1</v>
      </c>
      <c r="AU26">
        <v>25</v>
      </c>
      <c r="AV26">
        <v>6</v>
      </c>
      <c r="AW26" t="s">
        <v>570</v>
      </c>
      <c r="AX26" t="s">
        <v>45</v>
      </c>
      <c r="AY26" t="s">
        <v>501</v>
      </c>
      <c r="AZ26">
        <v>1529</v>
      </c>
      <c r="BA26" t="s">
        <v>571</v>
      </c>
      <c r="BB26">
        <v>978</v>
      </c>
      <c r="BC26" t="s">
        <v>572</v>
      </c>
      <c r="BD26">
        <v>1930</v>
      </c>
      <c r="BE26">
        <v>0</v>
      </c>
      <c r="BF26">
        <v>124.542354</v>
      </c>
    </row>
    <row r="27" spans="1:58" x14ac:dyDescent="0.2">
      <c r="A27">
        <v>26</v>
      </c>
      <c r="B27" t="s">
        <v>70</v>
      </c>
      <c r="C27">
        <v>0</v>
      </c>
      <c r="H27" t="s">
        <v>70</v>
      </c>
      <c r="I27" t="s">
        <v>45</v>
      </c>
      <c r="Q27" t="s">
        <v>70</v>
      </c>
      <c r="R27">
        <v>66.744550360000005</v>
      </c>
      <c r="S27">
        <v>6</v>
      </c>
      <c r="T27">
        <v>130</v>
      </c>
      <c r="V27">
        <v>0</v>
      </c>
      <c r="W27">
        <v>0</v>
      </c>
      <c r="X27" t="s">
        <v>70</v>
      </c>
      <c r="Y27">
        <v>0</v>
      </c>
      <c r="Z27">
        <v>6</v>
      </c>
      <c r="AA27">
        <v>66.739999999999995</v>
      </c>
      <c r="AB27">
        <v>130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66.744550360000005</v>
      </c>
      <c r="AR27">
        <v>0</v>
      </c>
      <c r="AS27">
        <v>26</v>
      </c>
      <c r="AT27">
        <v>1</v>
      </c>
      <c r="AU27">
        <v>26</v>
      </c>
      <c r="AV27">
        <v>6</v>
      </c>
      <c r="AW27" t="s">
        <v>573</v>
      </c>
      <c r="AX27" t="s">
        <v>45</v>
      </c>
      <c r="AY27" t="s">
        <v>501</v>
      </c>
      <c r="AZ27">
        <v>1530</v>
      </c>
      <c r="BA27" t="s">
        <v>574</v>
      </c>
      <c r="BB27">
        <v>977</v>
      </c>
      <c r="BC27" t="s">
        <v>575</v>
      </c>
      <c r="BD27">
        <v>1930</v>
      </c>
      <c r="BE27">
        <v>0</v>
      </c>
      <c r="BF27">
        <v>66.744518790000001</v>
      </c>
    </row>
    <row r="28" spans="1:58" x14ac:dyDescent="0.2">
      <c r="A28">
        <v>27</v>
      </c>
      <c r="B28" t="s">
        <v>71</v>
      </c>
      <c r="C28">
        <v>0</v>
      </c>
      <c r="H28" t="s">
        <v>71</v>
      </c>
      <c r="I28" t="s">
        <v>45</v>
      </c>
      <c r="Q28" t="s">
        <v>71</v>
      </c>
      <c r="R28">
        <v>47.82082484</v>
      </c>
      <c r="S28">
        <v>6</v>
      </c>
      <c r="T28">
        <v>130</v>
      </c>
      <c r="V28">
        <v>0</v>
      </c>
      <c r="W28">
        <v>0</v>
      </c>
      <c r="X28" t="s">
        <v>71</v>
      </c>
      <c r="Y28">
        <v>0</v>
      </c>
      <c r="Z28">
        <v>6</v>
      </c>
      <c r="AA28">
        <v>47.82</v>
      </c>
      <c r="AB28">
        <v>130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47.82082484</v>
      </c>
      <c r="AR28">
        <v>0</v>
      </c>
      <c r="AS28">
        <v>27</v>
      </c>
      <c r="AT28">
        <v>1</v>
      </c>
      <c r="AU28">
        <v>27</v>
      </c>
      <c r="AV28">
        <v>6</v>
      </c>
      <c r="AW28" t="s">
        <v>576</v>
      </c>
      <c r="AX28" t="s">
        <v>45</v>
      </c>
      <c r="AY28" t="s">
        <v>501</v>
      </c>
      <c r="AZ28">
        <v>1531</v>
      </c>
      <c r="BA28" t="s">
        <v>577</v>
      </c>
      <c r="BB28">
        <v>1693</v>
      </c>
      <c r="BC28" t="s">
        <v>578</v>
      </c>
      <c r="BD28">
        <v>1930</v>
      </c>
      <c r="BE28">
        <v>0</v>
      </c>
      <c r="BF28">
        <v>47.82051568</v>
      </c>
    </row>
    <row r="29" spans="1:58" x14ac:dyDescent="0.2">
      <c r="A29">
        <v>28</v>
      </c>
      <c r="B29" t="s">
        <v>72</v>
      </c>
      <c r="C29">
        <v>0</v>
      </c>
      <c r="H29" t="s">
        <v>72</v>
      </c>
      <c r="I29" t="s">
        <v>45</v>
      </c>
      <c r="Q29" t="s">
        <v>72</v>
      </c>
      <c r="R29">
        <v>56.957837509999997</v>
      </c>
      <c r="S29">
        <v>6</v>
      </c>
      <c r="T29">
        <v>130</v>
      </c>
      <c r="V29">
        <v>0</v>
      </c>
      <c r="W29">
        <v>0</v>
      </c>
      <c r="X29" t="s">
        <v>72</v>
      </c>
      <c r="Y29">
        <v>0</v>
      </c>
      <c r="Z29">
        <v>6</v>
      </c>
      <c r="AA29">
        <v>56.96</v>
      </c>
      <c r="AB29">
        <v>130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56.957837509999997</v>
      </c>
      <c r="AR29">
        <v>0</v>
      </c>
      <c r="AS29">
        <v>28</v>
      </c>
      <c r="AT29">
        <v>1</v>
      </c>
      <c r="AU29">
        <v>28</v>
      </c>
      <c r="AV29">
        <v>6</v>
      </c>
      <c r="AW29" t="s">
        <v>579</v>
      </c>
      <c r="AX29" t="s">
        <v>45</v>
      </c>
      <c r="AY29" t="s">
        <v>501</v>
      </c>
      <c r="AZ29">
        <v>1532</v>
      </c>
      <c r="BA29" t="s">
        <v>580</v>
      </c>
      <c r="BB29">
        <v>894</v>
      </c>
      <c r="BC29" t="s">
        <v>581</v>
      </c>
      <c r="BD29">
        <v>1930</v>
      </c>
      <c r="BE29">
        <v>0</v>
      </c>
      <c r="BF29">
        <v>56.958055080000001</v>
      </c>
    </row>
    <row r="30" spans="1:58" x14ac:dyDescent="0.2">
      <c r="A30">
        <v>29</v>
      </c>
      <c r="B30" t="s">
        <v>73</v>
      </c>
      <c r="C30">
        <v>0</v>
      </c>
      <c r="H30" t="s">
        <v>73</v>
      </c>
      <c r="I30" t="s">
        <v>45</v>
      </c>
      <c r="Q30" t="s">
        <v>73</v>
      </c>
      <c r="R30">
        <v>74.229809290000006</v>
      </c>
      <c r="S30">
        <v>6</v>
      </c>
      <c r="T30">
        <v>130</v>
      </c>
      <c r="V30">
        <v>0</v>
      </c>
      <c r="W30">
        <v>0</v>
      </c>
      <c r="X30" t="s">
        <v>73</v>
      </c>
      <c r="Y30">
        <v>0</v>
      </c>
      <c r="Z30">
        <v>6</v>
      </c>
      <c r="AA30">
        <v>74.23</v>
      </c>
      <c r="AB30">
        <v>130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74.229809290000006</v>
      </c>
      <c r="AR30">
        <v>0</v>
      </c>
      <c r="AS30">
        <v>29</v>
      </c>
      <c r="AT30">
        <v>1</v>
      </c>
      <c r="AU30">
        <v>29</v>
      </c>
      <c r="AV30">
        <v>6</v>
      </c>
      <c r="AW30" t="s">
        <v>582</v>
      </c>
      <c r="AX30" t="s">
        <v>45</v>
      </c>
      <c r="AY30" t="s">
        <v>501</v>
      </c>
      <c r="AZ30">
        <v>1533</v>
      </c>
      <c r="BA30" t="s">
        <v>583</v>
      </c>
      <c r="BB30">
        <v>986</v>
      </c>
      <c r="BC30" t="s">
        <v>584</v>
      </c>
      <c r="BD30">
        <v>1930</v>
      </c>
      <c r="BE30">
        <v>0</v>
      </c>
      <c r="BF30">
        <v>74.229914739999998</v>
      </c>
    </row>
    <row r="31" spans="1:58" x14ac:dyDescent="0.2">
      <c r="A31">
        <v>30</v>
      </c>
      <c r="B31" t="s">
        <v>74</v>
      </c>
      <c r="C31">
        <v>0</v>
      </c>
      <c r="H31" t="s">
        <v>74</v>
      </c>
      <c r="I31" t="s">
        <v>45</v>
      </c>
      <c r="Q31" t="s">
        <v>74</v>
      </c>
      <c r="R31">
        <v>69.644971569999996</v>
      </c>
      <c r="S31">
        <v>6</v>
      </c>
      <c r="T31">
        <v>130</v>
      </c>
      <c r="V31">
        <v>0</v>
      </c>
      <c r="W31">
        <v>0</v>
      </c>
      <c r="X31" t="s">
        <v>74</v>
      </c>
      <c r="Y31">
        <v>0</v>
      </c>
      <c r="Z31">
        <v>6</v>
      </c>
      <c r="AA31">
        <v>69.64</v>
      </c>
      <c r="AB31">
        <v>130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69.644971569999996</v>
      </c>
      <c r="AR31">
        <v>0</v>
      </c>
      <c r="AS31">
        <v>30</v>
      </c>
      <c r="AT31">
        <v>1</v>
      </c>
      <c r="AU31">
        <v>30</v>
      </c>
      <c r="AV31">
        <v>6</v>
      </c>
      <c r="AW31" t="s">
        <v>585</v>
      </c>
      <c r="AX31" t="s">
        <v>45</v>
      </c>
      <c r="AY31" t="s">
        <v>501</v>
      </c>
      <c r="AZ31">
        <v>1534</v>
      </c>
      <c r="BA31" t="s">
        <v>586</v>
      </c>
      <c r="BB31">
        <v>951</v>
      </c>
      <c r="BC31" t="s">
        <v>587</v>
      </c>
      <c r="BD31">
        <v>1930</v>
      </c>
      <c r="BE31">
        <v>0</v>
      </c>
      <c r="BF31">
        <v>21.962025690000001</v>
      </c>
    </row>
    <row r="32" spans="1:58" x14ac:dyDescent="0.2">
      <c r="A32">
        <v>31</v>
      </c>
      <c r="B32" t="s">
        <v>75</v>
      </c>
      <c r="C32">
        <v>0</v>
      </c>
      <c r="H32" t="s">
        <v>75</v>
      </c>
      <c r="I32" t="s">
        <v>45</v>
      </c>
      <c r="Q32" t="s">
        <v>75</v>
      </c>
      <c r="R32">
        <v>63.293763910000003</v>
      </c>
      <c r="S32">
        <v>6</v>
      </c>
      <c r="T32">
        <v>130</v>
      </c>
      <c r="V32">
        <v>0</v>
      </c>
      <c r="W32">
        <v>0</v>
      </c>
      <c r="X32" t="s">
        <v>75</v>
      </c>
      <c r="Y32">
        <v>0</v>
      </c>
      <c r="Z32">
        <v>6</v>
      </c>
      <c r="AA32">
        <v>63.29</v>
      </c>
      <c r="AB32">
        <v>130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63.293763910000003</v>
      </c>
      <c r="AR32">
        <v>0</v>
      </c>
      <c r="AS32">
        <v>31</v>
      </c>
      <c r="AT32">
        <v>1</v>
      </c>
      <c r="AU32">
        <v>31</v>
      </c>
      <c r="AV32">
        <v>6</v>
      </c>
      <c r="AW32" t="s">
        <v>588</v>
      </c>
      <c r="AX32" t="s">
        <v>45</v>
      </c>
      <c r="AY32" t="s">
        <v>501</v>
      </c>
      <c r="AZ32">
        <v>1535</v>
      </c>
      <c r="BA32" t="s">
        <v>589</v>
      </c>
      <c r="BB32">
        <v>967</v>
      </c>
      <c r="BC32" t="s">
        <v>590</v>
      </c>
      <c r="BD32">
        <v>1930</v>
      </c>
      <c r="BE32">
        <v>0</v>
      </c>
      <c r="BF32">
        <v>63.293679509999997</v>
      </c>
    </row>
    <row r="33" spans="1:58" x14ac:dyDescent="0.2">
      <c r="A33">
        <v>32</v>
      </c>
      <c r="B33" t="s">
        <v>76</v>
      </c>
      <c r="C33">
        <v>0</v>
      </c>
      <c r="H33" t="s">
        <v>76</v>
      </c>
      <c r="I33" t="s">
        <v>45</v>
      </c>
      <c r="Q33" t="s">
        <v>76</v>
      </c>
      <c r="R33">
        <v>20.320687540000002</v>
      </c>
      <c r="S33">
        <v>6</v>
      </c>
      <c r="T33">
        <v>130</v>
      </c>
      <c r="V33">
        <v>0</v>
      </c>
      <c r="W33">
        <v>0</v>
      </c>
      <c r="X33" t="s">
        <v>76</v>
      </c>
      <c r="Y33">
        <v>0</v>
      </c>
      <c r="Z33">
        <v>6</v>
      </c>
      <c r="AA33">
        <v>20.32</v>
      </c>
      <c r="AB33">
        <v>130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20.320687540000002</v>
      </c>
      <c r="AR33">
        <v>0</v>
      </c>
      <c r="AS33">
        <v>32</v>
      </c>
      <c r="AT33">
        <v>1</v>
      </c>
      <c r="AU33">
        <v>32</v>
      </c>
      <c r="AV33">
        <v>6</v>
      </c>
      <c r="AW33" t="s">
        <v>591</v>
      </c>
      <c r="AX33" t="s">
        <v>45</v>
      </c>
      <c r="AY33" t="s">
        <v>501</v>
      </c>
      <c r="AZ33">
        <v>1536</v>
      </c>
      <c r="BA33" t="s">
        <v>592</v>
      </c>
      <c r="BB33">
        <v>1694</v>
      </c>
      <c r="BC33" t="s">
        <v>593</v>
      </c>
      <c r="BD33">
        <v>1930</v>
      </c>
      <c r="BE33">
        <v>0</v>
      </c>
      <c r="BF33">
        <v>20.320770169999999</v>
      </c>
    </row>
    <row r="34" spans="1:58" x14ac:dyDescent="0.2">
      <c r="A34">
        <v>33</v>
      </c>
      <c r="B34" t="s">
        <v>77</v>
      </c>
      <c r="C34">
        <v>0</v>
      </c>
      <c r="H34" t="s">
        <v>77</v>
      </c>
      <c r="I34" t="s">
        <v>45</v>
      </c>
      <c r="Q34" t="s">
        <v>77</v>
      </c>
      <c r="R34">
        <v>35.022262990000002</v>
      </c>
      <c r="S34">
        <v>6</v>
      </c>
      <c r="T34">
        <v>130</v>
      </c>
      <c r="V34">
        <v>0</v>
      </c>
      <c r="W34">
        <v>0</v>
      </c>
      <c r="X34" t="s">
        <v>77</v>
      </c>
      <c r="Y34">
        <v>0</v>
      </c>
      <c r="Z34">
        <v>6</v>
      </c>
      <c r="AA34">
        <v>35.020000000000003</v>
      </c>
      <c r="AB34">
        <v>130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35.022262990000002</v>
      </c>
      <c r="AR34">
        <v>0</v>
      </c>
      <c r="AS34">
        <v>33</v>
      </c>
      <c r="AT34">
        <v>1</v>
      </c>
      <c r="AU34">
        <v>33</v>
      </c>
      <c r="AV34">
        <v>6</v>
      </c>
      <c r="AW34" t="s">
        <v>594</v>
      </c>
      <c r="AX34" t="s">
        <v>45</v>
      </c>
      <c r="AY34" t="s">
        <v>501</v>
      </c>
      <c r="AZ34">
        <v>971</v>
      </c>
      <c r="BA34" t="s">
        <v>595</v>
      </c>
      <c r="BB34">
        <v>1695</v>
      </c>
      <c r="BC34" t="s">
        <v>596</v>
      </c>
      <c r="BD34">
        <v>1930</v>
      </c>
      <c r="BE34">
        <v>0</v>
      </c>
      <c r="BF34">
        <v>504.86634759999998</v>
      </c>
    </row>
    <row r="35" spans="1:58" x14ac:dyDescent="0.2">
      <c r="A35">
        <v>34</v>
      </c>
      <c r="B35" t="s">
        <v>78</v>
      </c>
      <c r="C35">
        <v>0</v>
      </c>
      <c r="H35" t="s">
        <v>78</v>
      </c>
      <c r="I35" t="s">
        <v>45</v>
      </c>
      <c r="Q35" t="s">
        <v>78</v>
      </c>
      <c r="R35">
        <v>5.4477762739999998</v>
      </c>
      <c r="S35">
        <v>6</v>
      </c>
      <c r="T35">
        <v>130</v>
      </c>
      <c r="V35">
        <v>0</v>
      </c>
      <c r="W35">
        <v>0</v>
      </c>
      <c r="X35" t="s">
        <v>78</v>
      </c>
      <c r="Y35">
        <v>0</v>
      </c>
      <c r="Z35">
        <v>6</v>
      </c>
      <c r="AA35">
        <v>5.45</v>
      </c>
      <c r="AB35">
        <v>130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5.4477762739999998</v>
      </c>
      <c r="AR35">
        <v>0</v>
      </c>
      <c r="AS35">
        <v>34</v>
      </c>
      <c r="AT35">
        <v>1</v>
      </c>
      <c r="AU35">
        <v>34</v>
      </c>
      <c r="AV35">
        <v>6</v>
      </c>
      <c r="AW35" t="s">
        <v>597</v>
      </c>
      <c r="AX35" t="s">
        <v>45</v>
      </c>
      <c r="AY35" t="s">
        <v>501</v>
      </c>
      <c r="AZ35">
        <v>1538</v>
      </c>
      <c r="BA35" t="s">
        <v>598</v>
      </c>
      <c r="BB35">
        <v>1696</v>
      </c>
      <c r="BC35" t="s">
        <v>599</v>
      </c>
      <c r="BD35">
        <v>1930</v>
      </c>
      <c r="BE35">
        <v>0</v>
      </c>
      <c r="BF35">
        <v>5.447503266</v>
      </c>
    </row>
    <row r="36" spans="1:58" x14ac:dyDescent="0.2">
      <c r="A36">
        <v>35</v>
      </c>
      <c r="B36" t="s">
        <v>79</v>
      </c>
      <c r="C36">
        <v>0</v>
      </c>
      <c r="H36" t="s">
        <v>79</v>
      </c>
      <c r="I36" t="s">
        <v>45</v>
      </c>
      <c r="Q36" t="s">
        <v>79</v>
      </c>
      <c r="R36">
        <v>44.955468209999999</v>
      </c>
      <c r="S36">
        <v>6</v>
      </c>
      <c r="T36">
        <v>130</v>
      </c>
      <c r="V36">
        <v>0</v>
      </c>
      <c r="W36">
        <v>0</v>
      </c>
      <c r="X36" t="s">
        <v>79</v>
      </c>
      <c r="Y36">
        <v>0</v>
      </c>
      <c r="Z36">
        <v>6</v>
      </c>
      <c r="AA36">
        <v>44.96</v>
      </c>
      <c r="AB36">
        <v>130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44.955468199999999</v>
      </c>
      <c r="AR36">
        <v>0</v>
      </c>
      <c r="AS36">
        <v>35</v>
      </c>
      <c r="AT36">
        <v>1</v>
      </c>
      <c r="AU36">
        <v>35</v>
      </c>
      <c r="AV36">
        <v>6</v>
      </c>
      <c r="AW36" t="s">
        <v>600</v>
      </c>
      <c r="AX36" t="s">
        <v>45</v>
      </c>
      <c r="AY36" t="s">
        <v>501</v>
      </c>
      <c r="AZ36">
        <v>1539</v>
      </c>
      <c r="BA36" t="s">
        <v>601</v>
      </c>
      <c r="BB36">
        <v>1697</v>
      </c>
      <c r="BC36" t="s">
        <v>602</v>
      </c>
      <c r="BD36">
        <v>1930</v>
      </c>
      <c r="BE36">
        <v>0</v>
      </c>
      <c r="BF36">
        <v>44.955624729999997</v>
      </c>
    </row>
    <row r="37" spans="1:58" x14ac:dyDescent="0.2">
      <c r="A37">
        <v>36</v>
      </c>
      <c r="B37" t="s">
        <v>80</v>
      </c>
      <c r="C37">
        <v>0</v>
      </c>
      <c r="H37" t="s">
        <v>80</v>
      </c>
      <c r="I37" t="s">
        <v>45</v>
      </c>
      <c r="Q37" t="s">
        <v>80</v>
      </c>
      <c r="R37">
        <v>24.914466359999999</v>
      </c>
      <c r="S37">
        <v>6</v>
      </c>
      <c r="T37">
        <v>130</v>
      </c>
      <c r="V37">
        <v>0</v>
      </c>
      <c r="W37">
        <v>0</v>
      </c>
      <c r="X37" t="s">
        <v>80</v>
      </c>
      <c r="Y37">
        <v>0</v>
      </c>
      <c r="Z37">
        <v>6</v>
      </c>
      <c r="AA37">
        <v>24.91</v>
      </c>
      <c r="AB37">
        <v>130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24.914466359999999</v>
      </c>
      <c r="AR37">
        <v>0</v>
      </c>
      <c r="AS37">
        <v>36</v>
      </c>
      <c r="AT37">
        <v>1</v>
      </c>
      <c r="AU37">
        <v>36</v>
      </c>
      <c r="AV37">
        <v>6</v>
      </c>
      <c r="AW37" t="s">
        <v>603</v>
      </c>
      <c r="AX37" t="s">
        <v>45</v>
      </c>
      <c r="AY37" t="s">
        <v>501</v>
      </c>
      <c r="AZ37">
        <v>1540</v>
      </c>
      <c r="BA37" t="s">
        <v>604</v>
      </c>
      <c r="BB37">
        <v>1698</v>
      </c>
      <c r="BC37" t="s">
        <v>605</v>
      </c>
      <c r="BD37">
        <v>1930</v>
      </c>
      <c r="BE37">
        <v>0</v>
      </c>
      <c r="BF37">
        <v>24.914346420000001</v>
      </c>
    </row>
    <row r="38" spans="1:58" x14ac:dyDescent="0.2">
      <c r="A38">
        <v>37</v>
      </c>
      <c r="B38" t="s">
        <v>81</v>
      </c>
      <c r="C38">
        <v>0</v>
      </c>
      <c r="H38" t="s">
        <v>81</v>
      </c>
      <c r="I38" t="s">
        <v>45</v>
      </c>
      <c r="Q38" t="s">
        <v>81</v>
      </c>
      <c r="R38">
        <v>42.947179009999999</v>
      </c>
      <c r="S38">
        <v>6</v>
      </c>
      <c r="T38">
        <v>130</v>
      </c>
      <c r="V38">
        <v>0</v>
      </c>
      <c r="W38">
        <v>0</v>
      </c>
      <c r="X38" t="s">
        <v>81</v>
      </c>
      <c r="Y38">
        <v>0</v>
      </c>
      <c r="Z38">
        <v>6</v>
      </c>
      <c r="AA38">
        <v>42.95</v>
      </c>
      <c r="AB38">
        <v>130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42.947179009999999</v>
      </c>
      <c r="AR38">
        <v>0</v>
      </c>
      <c r="AS38">
        <v>37</v>
      </c>
      <c r="AT38">
        <v>1</v>
      </c>
      <c r="AU38">
        <v>37</v>
      </c>
      <c r="AV38">
        <v>6</v>
      </c>
      <c r="AW38" t="s">
        <v>606</v>
      </c>
      <c r="AX38" t="s">
        <v>45</v>
      </c>
      <c r="AY38" t="s">
        <v>501</v>
      </c>
      <c r="AZ38">
        <v>1541</v>
      </c>
      <c r="BA38" t="s">
        <v>607</v>
      </c>
      <c r="BB38">
        <v>1699</v>
      </c>
      <c r="BC38" t="s">
        <v>608</v>
      </c>
      <c r="BD38">
        <v>1930</v>
      </c>
      <c r="BE38">
        <v>0</v>
      </c>
      <c r="BF38">
        <v>42.947219820000001</v>
      </c>
    </row>
    <row r="39" spans="1:58" x14ac:dyDescent="0.2">
      <c r="A39">
        <v>38</v>
      </c>
      <c r="B39" t="s">
        <v>82</v>
      </c>
      <c r="C39">
        <v>0</v>
      </c>
      <c r="H39" t="s">
        <v>82</v>
      </c>
      <c r="I39" t="s">
        <v>45</v>
      </c>
      <c r="Q39" t="s">
        <v>82</v>
      </c>
      <c r="R39">
        <v>27.094653829999999</v>
      </c>
      <c r="S39">
        <v>6</v>
      </c>
      <c r="T39">
        <v>130</v>
      </c>
      <c r="V39">
        <v>0</v>
      </c>
      <c r="W39">
        <v>0</v>
      </c>
      <c r="X39" t="s">
        <v>82</v>
      </c>
      <c r="Y39">
        <v>0</v>
      </c>
      <c r="Z39">
        <v>6</v>
      </c>
      <c r="AA39">
        <v>27.09</v>
      </c>
      <c r="AB39">
        <v>130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27.094653829999999</v>
      </c>
      <c r="AR39">
        <v>1</v>
      </c>
      <c r="AS39">
        <v>38</v>
      </c>
      <c r="AT39">
        <v>1</v>
      </c>
      <c r="AU39">
        <v>38</v>
      </c>
      <c r="AV39">
        <v>6</v>
      </c>
      <c r="AW39" t="s">
        <v>609</v>
      </c>
      <c r="AX39" t="s">
        <v>45</v>
      </c>
      <c r="AY39" t="s">
        <v>501</v>
      </c>
      <c r="AZ39">
        <v>1542</v>
      </c>
      <c r="BA39" t="s">
        <v>610</v>
      </c>
      <c r="BB39">
        <v>1700</v>
      </c>
      <c r="BC39" t="s">
        <v>611</v>
      </c>
      <c r="BD39">
        <v>1930</v>
      </c>
      <c r="BE39">
        <v>0</v>
      </c>
      <c r="BF39">
        <v>27.09466334</v>
      </c>
    </row>
    <row r="40" spans="1:58" x14ac:dyDescent="0.2">
      <c r="A40">
        <v>39</v>
      </c>
      <c r="B40" t="s">
        <v>83</v>
      </c>
      <c r="C40">
        <v>0</v>
      </c>
      <c r="H40" t="s">
        <v>83</v>
      </c>
      <c r="I40" t="s">
        <v>45</v>
      </c>
      <c r="Q40" t="s">
        <v>83</v>
      </c>
      <c r="R40">
        <v>46.751553950000002</v>
      </c>
      <c r="S40">
        <v>6</v>
      </c>
      <c r="T40">
        <v>130</v>
      </c>
      <c r="V40">
        <v>0</v>
      </c>
      <c r="W40">
        <v>0</v>
      </c>
      <c r="X40" t="s">
        <v>83</v>
      </c>
      <c r="Y40">
        <v>0</v>
      </c>
      <c r="Z40">
        <v>6</v>
      </c>
      <c r="AA40">
        <v>46.75</v>
      </c>
      <c r="AB40">
        <v>130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46.751553950000002</v>
      </c>
      <c r="AR40">
        <v>0</v>
      </c>
      <c r="AS40">
        <v>39</v>
      </c>
      <c r="AT40">
        <v>1</v>
      </c>
      <c r="AU40">
        <v>39</v>
      </c>
      <c r="AV40">
        <v>6</v>
      </c>
      <c r="AW40" t="s">
        <v>612</v>
      </c>
      <c r="AX40" t="s">
        <v>45</v>
      </c>
      <c r="AY40" t="s">
        <v>501</v>
      </c>
      <c r="AZ40">
        <v>1543</v>
      </c>
      <c r="BA40" t="s">
        <v>613</v>
      </c>
      <c r="BB40">
        <v>900</v>
      </c>
      <c r="BC40" t="s">
        <v>614</v>
      </c>
      <c r="BD40">
        <v>1930</v>
      </c>
      <c r="BE40">
        <v>0</v>
      </c>
      <c r="BF40">
        <v>46.751659549999999</v>
      </c>
    </row>
    <row r="41" spans="1:58" x14ac:dyDescent="0.2">
      <c r="A41">
        <v>40</v>
      </c>
      <c r="B41" t="s">
        <v>84</v>
      </c>
      <c r="C41">
        <v>0</v>
      </c>
      <c r="H41" t="s">
        <v>84</v>
      </c>
      <c r="I41" t="s">
        <v>45</v>
      </c>
      <c r="Q41" t="s">
        <v>84</v>
      </c>
      <c r="R41">
        <v>12.93492125</v>
      </c>
      <c r="S41">
        <v>6</v>
      </c>
      <c r="T41">
        <v>130</v>
      </c>
      <c r="V41">
        <v>0</v>
      </c>
      <c r="W41">
        <v>0</v>
      </c>
      <c r="X41" t="s">
        <v>84</v>
      </c>
      <c r="Y41">
        <v>0</v>
      </c>
      <c r="Z41">
        <v>6</v>
      </c>
      <c r="AA41">
        <v>12.93</v>
      </c>
      <c r="AB41">
        <v>130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12.93492125</v>
      </c>
      <c r="AR41">
        <v>0</v>
      </c>
      <c r="AS41">
        <v>40</v>
      </c>
      <c r="AT41">
        <v>1</v>
      </c>
      <c r="AU41">
        <v>40</v>
      </c>
      <c r="AV41">
        <v>6</v>
      </c>
      <c r="AW41" t="s">
        <v>615</v>
      </c>
      <c r="AX41" t="s">
        <v>45</v>
      </c>
      <c r="AY41" t="s">
        <v>501</v>
      </c>
      <c r="AZ41">
        <v>1544</v>
      </c>
      <c r="BA41" t="s">
        <v>616</v>
      </c>
      <c r="BB41">
        <v>1701</v>
      </c>
      <c r="BC41" t="s">
        <v>617</v>
      </c>
      <c r="BD41">
        <v>1930</v>
      </c>
      <c r="BE41">
        <v>0</v>
      </c>
      <c r="BF41">
        <v>12.93515388</v>
      </c>
    </row>
    <row r="42" spans="1:58" x14ac:dyDescent="0.2">
      <c r="A42">
        <v>41</v>
      </c>
      <c r="B42" t="s">
        <v>85</v>
      </c>
      <c r="C42">
        <v>0</v>
      </c>
      <c r="H42" t="s">
        <v>85</v>
      </c>
      <c r="I42" t="s">
        <v>45</v>
      </c>
      <c r="Q42" t="s">
        <v>85</v>
      </c>
      <c r="R42">
        <v>32.960285550000002</v>
      </c>
      <c r="S42">
        <v>6</v>
      </c>
      <c r="T42">
        <v>130</v>
      </c>
      <c r="V42">
        <v>0</v>
      </c>
      <c r="W42">
        <v>0</v>
      </c>
      <c r="X42" t="s">
        <v>85</v>
      </c>
      <c r="Y42">
        <v>0</v>
      </c>
      <c r="Z42">
        <v>6</v>
      </c>
      <c r="AA42">
        <v>32.96</v>
      </c>
      <c r="AB42">
        <v>130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32.960285550000002</v>
      </c>
      <c r="AR42">
        <v>0</v>
      </c>
      <c r="AS42">
        <v>41</v>
      </c>
      <c r="AT42">
        <v>1</v>
      </c>
      <c r="AU42">
        <v>41</v>
      </c>
      <c r="AV42">
        <v>6</v>
      </c>
      <c r="AW42" t="s">
        <v>618</v>
      </c>
      <c r="AX42" t="s">
        <v>45</v>
      </c>
      <c r="AY42" t="s">
        <v>501</v>
      </c>
      <c r="AZ42">
        <v>1545</v>
      </c>
      <c r="BA42" t="s">
        <v>619</v>
      </c>
      <c r="BB42">
        <v>1702</v>
      </c>
      <c r="BC42" t="s">
        <v>620</v>
      </c>
      <c r="BD42">
        <v>1930</v>
      </c>
      <c r="BE42">
        <v>0</v>
      </c>
      <c r="BF42">
        <v>32.960292719999998</v>
      </c>
    </row>
    <row r="43" spans="1:58" x14ac:dyDescent="0.2">
      <c r="A43">
        <v>42</v>
      </c>
      <c r="B43" t="s">
        <v>86</v>
      </c>
      <c r="C43">
        <v>0</v>
      </c>
      <c r="H43" t="s">
        <v>86</v>
      </c>
      <c r="I43" t="s">
        <v>45</v>
      </c>
      <c r="Q43" t="s">
        <v>86</v>
      </c>
      <c r="R43">
        <v>25.025454880000002</v>
      </c>
      <c r="S43">
        <v>6</v>
      </c>
      <c r="T43">
        <v>130</v>
      </c>
      <c r="V43">
        <v>0</v>
      </c>
      <c r="W43">
        <v>0</v>
      </c>
      <c r="X43" t="s">
        <v>86</v>
      </c>
      <c r="Y43">
        <v>0</v>
      </c>
      <c r="Z43">
        <v>6</v>
      </c>
      <c r="AA43">
        <v>25.03</v>
      </c>
      <c r="AB43">
        <v>130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25.025454880000002</v>
      </c>
      <c r="AR43">
        <v>0</v>
      </c>
      <c r="AS43">
        <v>42</v>
      </c>
      <c r="AT43">
        <v>1</v>
      </c>
      <c r="AU43">
        <v>42</v>
      </c>
      <c r="AV43">
        <v>6</v>
      </c>
      <c r="AW43" t="s">
        <v>621</v>
      </c>
      <c r="AX43" t="s">
        <v>45</v>
      </c>
      <c r="AY43" t="s">
        <v>501</v>
      </c>
      <c r="AZ43">
        <v>1546</v>
      </c>
      <c r="BA43" t="s">
        <v>622</v>
      </c>
      <c r="BB43">
        <v>1703</v>
      </c>
      <c r="BC43" t="s">
        <v>623</v>
      </c>
      <c r="BD43">
        <v>1930</v>
      </c>
      <c r="BE43">
        <v>0</v>
      </c>
      <c r="BF43">
        <v>25.02544563</v>
      </c>
    </row>
    <row r="44" spans="1:58" x14ac:dyDescent="0.2">
      <c r="A44">
        <v>43</v>
      </c>
      <c r="B44" t="s">
        <v>87</v>
      </c>
      <c r="C44">
        <v>0</v>
      </c>
      <c r="H44" t="s">
        <v>87</v>
      </c>
      <c r="I44" t="s">
        <v>45</v>
      </c>
      <c r="Q44" t="s">
        <v>87</v>
      </c>
      <c r="R44">
        <v>0.86057297899999996</v>
      </c>
      <c r="S44">
        <v>6</v>
      </c>
      <c r="T44">
        <v>130</v>
      </c>
      <c r="V44">
        <v>0</v>
      </c>
      <c r="W44">
        <v>0</v>
      </c>
      <c r="X44" t="s">
        <v>87</v>
      </c>
      <c r="Y44">
        <v>0</v>
      </c>
      <c r="Z44">
        <v>6</v>
      </c>
      <c r="AA44">
        <v>0.86</v>
      </c>
      <c r="AB44">
        <v>130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0.86057297899999996</v>
      </c>
      <c r="AR44">
        <v>0</v>
      </c>
      <c r="AS44">
        <v>43</v>
      </c>
      <c r="AT44">
        <v>1</v>
      </c>
      <c r="AU44">
        <v>43</v>
      </c>
      <c r="AV44">
        <v>6</v>
      </c>
      <c r="AW44" t="s">
        <v>624</v>
      </c>
      <c r="AX44" t="s">
        <v>45</v>
      </c>
      <c r="AY44" t="s">
        <v>501</v>
      </c>
      <c r="AZ44">
        <v>1547</v>
      </c>
      <c r="BA44" t="s">
        <v>625</v>
      </c>
      <c r="BB44">
        <v>846</v>
      </c>
      <c r="BC44" t="s">
        <v>626</v>
      </c>
      <c r="BD44">
        <v>1950</v>
      </c>
      <c r="BE44">
        <v>0</v>
      </c>
      <c r="BF44">
        <v>0.86058703999999997</v>
      </c>
    </row>
    <row r="45" spans="1:58" x14ac:dyDescent="0.2">
      <c r="A45">
        <v>44</v>
      </c>
      <c r="B45" t="s">
        <v>88</v>
      </c>
      <c r="C45">
        <v>0</v>
      </c>
      <c r="H45" t="s">
        <v>88</v>
      </c>
      <c r="I45" t="s">
        <v>45</v>
      </c>
      <c r="Q45" t="s">
        <v>88</v>
      </c>
      <c r="R45">
        <v>1.8717631859999999</v>
      </c>
      <c r="S45">
        <v>6</v>
      </c>
      <c r="T45">
        <v>130</v>
      </c>
      <c r="V45">
        <v>0</v>
      </c>
      <c r="W45">
        <v>0</v>
      </c>
      <c r="X45" t="s">
        <v>88</v>
      </c>
      <c r="Y45">
        <v>0</v>
      </c>
      <c r="Z45">
        <v>6</v>
      </c>
      <c r="AA45">
        <v>1.87</v>
      </c>
      <c r="AB45">
        <v>130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1.8717631859999999</v>
      </c>
      <c r="AR45">
        <v>0</v>
      </c>
      <c r="AS45">
        <v>44</v>
      </c>
      <c r="AT45">
        <v>1</v>
      </c>
      <c r="AU45">
        <v>44</v>
      </c>
      <c r="AV45">
        <v>6</v>
      </c>
      <c r="AW45" t="s">
        <v>627</v>
      </c>
      <c r="AX45" t="s">
        <v>45</v>
      </c>
      <c r="AY45" t="s">
        <v>501</v>
      </c>
      <c r="AZ45">
        <v>1548</v>
      </c>
      <c r="BA45" t="s">
        <v>628</v>
      </c>
      <c r="BB45">
        <v>1704</v>
      </c>
      <c r="BC45" t="s">
        <v>629</v>
      </c>
      <c r="BD45">
        <v>1930</v>
      </c>
      <c r="BE45">
        <v>0</v>
      </c>
      <c r="BF45">
        <v>1.872084098</v>
      </c>
    </row>
    <row r="46" spans="1:58" x14ac:dyDescent="0.2">
      <c r="A46">
        <v>45</v>
      </c>
      <c r="B46" t="s">
        <v>89</v>
      </c>
      <c r="C46">
        <v>0</v>
      </c>
      <c r="H46" t="s">
        <v>89</v>
      </c>
      <c r="I46" t="s">
        <v>45</v>
      </c>
      <c r="Q46" t="s">
        <v>89</v>
      </c>
      <c r="R46">
        <v>13.54247174</v>
      </c>
      <c r="S46">
        <v>6</v>
      </c>
      <c r="T46">
        <v>130</v>
      </c>
      <c r="V46">
        <v>0</v>
      </c>
      <c r="W46">
        <v>0</v>
      </c>
      <c r="X46" t="s">
        <v>89</v>
      </c>
      <c r="Y46">
        <v>0</v>
      </c>
      <c r="Z46">
        <v>6</v>
      </c>
      <c r="AA46">
        <v>13.54</v>
      </c>
      <c r="AB46">
        <v>130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13.54247174</v>
      </c>
      <c r="AR46">
        <v>0</v>
      </c>
      <c r="AS46">
        <v>45</v>
      </c>
      <c r="AT46">
        <v>1</v>
      </c>
      <c r="AU46">
        <v>45</v>
      </c>
      <c r="AV46">
        <v>6</v>
      </c>
      <c r="AW46" t="s">
        <v>630</v>
      </c>
      <c r="AX46" t="s">
        <v>45</v>
      </c>
      <c r="AY46" t="s">
        <v>501</v>
      </c>
      <c r="AZ46">
        <v>1549</v>
      </c>
      <c r="BA46" t="s">
        <v>631</v>
      </c>
      <c r="BB46">
        <v>1705</v>
      </c>
      <c r="BC46" t="s">
        <v>632</v>
      </c>
      <c r="BD46">
        <v>1930</v>
      </c>
      <c r="BE46">
        <v>0</v>
      </c>
      <c r="BF46">
        <v>13.5425647</v>
      </c>
    </row>
    <row r="47" spans="1:58" x14ac:dyDescent="0.2">
      <c r="A47">
        <v>46</v>
      </c>
      <c r="B47" t="s">
        <v>90</v>
      </c>
      <c r="C47">
        <v>0</v>
      </c>
      <c r="H47" t="s">
        <v>90</v>
      </c>
      <c r="I47" t="s">
        <v>45</v>
      </c>
      <c r="Q47" t="s">
        <v>90</v>
      </c>
      <c r="R47">
        <v>0.83515927999999995</v>
      </c>
      <c r="S47">
        <v>6</v>
      </c>
      <c r="T47">
        <v>130</v>
      </c>
      <c r="V47">
        <v>0</v>
      </c>
      <c r="W47">
        <v>0</v>
      </c>
      <c r="X47" t="s">
        <v>90</v>
      </c>
      <c r="Y47">
        <v>0</v>
      </c>
      <c r="Z47">
        <v>6</v>
      </c>
      <c r="AA47">
        <v>0.84</v>
      </c>
      <c r="AB47">
        <v>130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0.83515927999999995</v>
      </c>
      <c r="AR47">
        <v>0</v>
      </c>
      <c r="AS47">
        <v>46</v>
      </c>
      <c r="AT47">
        <v>1</v>
      </c>
      <c r="AU47">
        <v>46</v>
      </c>
      <c r="AV47">
        <v>6</v>
      </c>
      <c r="AW47" t="s">
        <v>633</v>
      </c>
      <c r="AX47" t="s">
        <v>45</v>
      </c>
      <c r="AY47" t="s">
        <v>501</v>
      </c>
      <c r="AZ47">
        <v>1550</v>
      </c>
      <c r="BA47" t="s">
        <v>634</v>
      </c>
      <c r="BB47">
        <v>885</v>
      </c>
      <c r="BC47" t="s">
        <v>635</v>
      </c>
      <c r="BD47">
        <v>1930</v>
      </c>
      <c r="BE47">
        <v>0</v>
      </c>
      <c r="BF47">
        <v>0.83536228999999995</v>
      </c>
    </row>
    <row r="48" spans="1:58" x14ac:dyDescent="0.2">
      <c r="A48">
        <v>47</v>
      </c>
      <c r="B48" t="s">
        <v>91</v>
      </c>
      <c r="C48">
        <v>0</v>
      </c>
      <c r="H48" t="s">
        <v>91</v>
      </c>
      <c r="I48" t="s">
        <v>45</v>
      </c>
      <c r="Q48" t="s">
        <v>91</v>
      </c>
      <c r="R48">
        <v>5.6539048249999997</v>
      </c>
      <c r="S48">
        <v>6</v>
      </c>
      <c r="T48">
        <v>130</v>
      </c>
      <c r="V48">
        <v>0</v>
      </c>
      <c r="W48">
        <v>0</v>
      </c>
      <c r="X48" t="s">
        <v>91</v>
      </c>
      <c r="Y48">
        <v>0</v>
      </c>
      <c r="Z48">
        <v>6</v>
      </c>
      <c r="AA48">
        <v>5.65</v>
      </c>
      <c r="AB48">
        <v>130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5.6539048249999997</v>
      </c>
      <c r="AR48">
        <v>1</v>
      </c>
      <c r="AS48">
        <v>47</v>
      </c>
      <c r="AT48">
        <v>1</v>
      </c>
      <c r="AU48">
        <v>47</v>
      </c>
      <c r="AV48">
        <v>6</v>
      </c>
      <c r="AW48" t="s">
        <v>636</v>
      </c>
      <c r="AX48" t="s">
        <v>45</v>
      </c>
      <c r="AY48" t="s">
        <v>501</v>
      </c>
      <c r="AZ48">
        <v>1551</v>
      </c>
      <c r="BA48" t="s">
        <v>637</v>
      </c>
      <c r="BB48">
        <v>1706</v>
      </c>
      <c r="BC48" t="s">
        <v>638</v>
      </c>
      <c r="BD48">
        <v>1930</v>
      </c>
      <c r="BE48">
        <v>0</v>
      </c>
      <c r="BF48">
        <v>5.6538831089999997</v>
      </c>
    </row>
    <row r="49" spans="1:58" x14ac:dyDescent="0.2">
      <c r="A49">
        <v>48</v>
      </c>
      <c r="B49" t="s">
        <v>92</v>
      </c>
      <c r="C49">
        <v>0</v>
      </c>
      <c r="H49" t="s">
        <v>92</v>
      </c>
      <c r="I49" t="s">
        <v>45</v>
      </c>
      <c r="Q49" t="s">
        <v>92</v>
      </c>
      <c r="R49">
        <v>6.0621357729999996</v>
      </c>
      <c r="S49">
        <v>6</v>
      </c>
      <c r="T49">
        <v>130</v>
      </c>
      <c r="V49">
        <v>0</v>
      </c>
      <c r="W49">
        <v>0</v>
      </c>
      <c r="X49" t="s">
        <v>92</v>
      </c>
      <c r="Y49">
        <v>0</v>
      </c>
      <c r="Z49">
        <v>6</v>
      </c>
      <c r="AA49">
        <v>6.06</v>
      </c>
      <c r="AB49">
        <v>130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6.0621357729999996</v>
      </c>
      <c r="AR49">
        <v>0</v>
      </c>
      <c r="AS49">
        <v>48</v>
      </c>
      <c r="AT49">
        <v>1</v>
      </c>
      <c r="AU49">
        <v>48</v>
      </c>
      <c r="AV49">
        <v>8</v>
      </c>
      <c r="AW49" t="s">
        <v>639</v>
      </c>
      <c r="AX49" t="s">
        <v>158</v>
      </c>
      <c r="AY49" t="s">
        <v>501</v>
      </c>
      <c r="AZ49">
        <v>849</v>
      </c>
      <c r="BA49" t="s">
        <v>640</v>
      </c>
      <c r="BB49">
        <v>1707</v>
      </c>
      <c r="BC49" t="s">
        <v>641</v>
      </c>
      <c r="BD49">
        <v>1950</v>
      </c>
      <c r="BE49">
        <v>1</v>
      </c>
      <c r="BF49">
        <v>1199.7648790000001</v>
      </c>
    </row>
    <row r="50" spans="1:58" x14ac:dyDescent="0.2">
      <c r="A50">
        <v>49</v>
      </c>
      <c r="B50" t="s">
        <v>93</v>
      </c>
      <c r="C50">
        <v>0</v>
      </c>
      <c r="H50" t="s">
        <v>93</v>
      </c>
      <c r="I50" t="s">
        <v>45</v>
      </c>
      <c r="Q50" t="s">
        <v>93</v>
      </c>
      <c r="R50">
        <v>30.059090510000001</v>
      </c>
      <c r="S50">
        <v>6</v>
      </c>
      <c r="T50">
        <v>130</v>
      </c>
      <c r="V50">
        <v>0</v>
      </c>
      <c r="W50">
        <v>0</v>
      </c>
      <c r="X50" t="s">
        <v>93</v>
      </c>
      <c r="Y50">
        <v>0</v>
      </c>
      <c r="Z50">
        <v>6</v>
      </c>
      <c r="AA50">
        <v>30.06</v>
      </c>
      <c r="AB50">
        <v>130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30.059090510000001</v>
      </c>
      <c r="AR50">
        <v>0</v>
      </c>
      <c r="AS50">
        <v>49</v>
      </c>
      <c r="AT50">
        <v>1</v>
      </c>
      <c r="AU50">
        <v>49</v>
      </c>
      <c r="AV50">
        <v>6</v>
      </c>
      <c r="AW50" t="s">
        <v>642</v>
      </c>
      <c r="AX50" t="s">
        <v>45</v>
      </c>
      <c r="AY50" t="s">
        <v>501</v>
      </c>
      <c r="AZ50">
        <v>1553</v>
      </c>
      <c r="BA50" t="s">
        <v>643</v>
      </c>
      <c r="BB50">
        <v>1708</v>
      </c>
      <c r="BC50" t="s">
        <v>644</v>
      </c>
      <c r="BD50">
        <v>1980</v>
      </c>
      <c r="BE50">
        <v>0</v>
      </c>
      <c r="BF50">
        <v>30.059025269999999</v>
      </c>
    </row>
    <row r="51" spans="1:58" x14ac:dyDescent="0.2">
      <c r="A51">
        <v>50</v>
      </c>
      <c r="B51" t="s">
        <v>94</v>
      </c>
      <c r="C51">
        <v>0</v>
      </c>
      <c r="H51" t="s">
        <v>94</v>
      </c>
      <c r="I51" t="s">
        <v>45</v>
      </c>
      <c r="Q51" t="s">
        <v>94</v>
      </c>
      <c r="R51">
        <v>13.70096829</v>
      </c>
      <c r="S51">
        <v>6</v>
      </c>
      <c r="T51">
        <v>130</v>
      </c>
      <c r="V51">
        <v>0</v>
      </c>
      <c r="W51">
        <v>0</v>
      </c>
      <c r="X51" t="s">
        <v>94</v>
      </c>
      <c r="Y51">
        <v>0</v>
      </c>
      <c r="Z51">
        <v>6</v>
      </c>
      <c r="AA51">
        <v>13.7</v>
      </c>
      <c r="AB51">
        <v>130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13.70096829</v>
      </c>
      <c r="AR51">
        <v>0</v>
      </c>
      <c r="AS51">
        <v>50</v>
      </c>
      <c r="AT51">
        <v>1</v>
      </c>
      <c r="AU51">
        <v>50</v>
      </c>
      <c r="AV51">
        <v>6</v>
      </c>
      <c r="AW51" t="s">
        <v>645</v>
      </c>
      <c r="AX51" t="s">
        <v>158</v>
      </c>
      <c r="AY51" t="s">
        <v>501</v>
      </c>
      <c r="AZ51">
        <v>1013</v>
      </c>
      <c r="BA51" t="s">
        <v>646</v>
      </c>
      <c r="BB51">
        <v>1709</v>
      </c>
      <c r="BC51" t="s">
        <v>647</v>
      </c>
      <c r="BD51">
        <v>1950</v>
      </c>
      <c r="BE51">
        <v>1</v>
      </c>
      <c r="BF51">
        <v>457.7312374</v>
      </c>
    </row>
    <row r="52" spans="1:58" x14ac:dyDescent="0.2">
      <c r="A52">
        <v>51</v>
      </c>
      <c r="B52" t="s">
        <v>95</v>
      </c>
      <c r="C52">
        <v>0</v>
      </c>
      <c r="H52" t="s">
        <v>95</v>
      </c>
      <c r="I52" t="s">
        <v>45</v>
      </c>
      <c r="Q52" t="s">
        <v>95</v>
      </c>
      <c r="R52">
        <v>3.2730925320000002</v>
      </c>
      <c r="S52">
        <v>6</v>
      </c>
      <c r="T52">
        <v>130</v>
      </c>
      <c r="V52">
        <v>0</v>
      </c>
      <c r="W52">
        <v>0</v>
      </c>
      <c r="X52" t="s">
        <v>95</v>
      </c>
      <c r="Y52">
        <v>0</v>
      </c>
      <c r="Z52">
        <v>6</v>
      </c>
      <c r="AA52">
        <v>3.27</v>
      </c>
      <c r="AB52">
        <v>130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3.2730925320000002</v>
      </c>
      <c r="AR52">
        <v>0</v>
      </c>
      <c r="AS52">
        <v>51</v>
      </c>
      <c r="AT52">
        <v>1</v>
      </c>
      <c r="AU52">
        <v>51</v>
      </c>
      <c r="AV52">
        <v>6</v>
      </c>
      <c r="AW52" t="s">
        <v>648</v>
      </c>
      <c r="AX52" t="s">
        <v>158</v>
      </c>
      <c r="AY52" t="s">
        <v>501</v>
      </c>
      <c r="AZ52">
        <v>1710</v>
      </c>
      <c r="BA52" t="s">
        <v>649</v>
      </c>
      <c r="BB52">
        <v>1013</v>
      </c>
      <c r="BC52" t="s">
        <v>646</v>
      </c>
      <c r="BD52">
        <v>1950</v>
      </c>
      <c r="BE52">
        <v>1</v>
      </c>
      <c r="BF52">
        <v>85.834384920000005</v>
      </c>
    </row>
    <row r="53" spans="1:58" x14ac:dyDescent="0.2">
      <c r="A53">
        <v>52</v>
      </c>
      <c r="B53" t="s">
        <v>96</v>
      </c>
      <c r="C53">
        <v>0</v>
      </c>
      <c r="H53" t="s">
        <v>96</v>
      </c>
      <c r="I53" t="s">
        <v>45</v>
      </c>
      <c r="Q53" t="s">
        <v>96</v>
      </c>
      <c r="R53">
        <v>20.36281224</v>
      </c>
      <c r="S53">
        <v>6</v>
      </c>
      <c r="T53">
        <v>130</v>
      </c>
      <c r="V53">
        <v>0</v>
      </c>
      <c r="W53">
        <v>0</v>
      </c>
      <c r="X53" t="s">
        <v>96</v>
      </c>
      <c r="Y53">
        <v>0</v>
      </c>
      <c r="Z53">
        <v>6</v>
      </c>
      <c r="AA53">
        <v>20.36</v>
      </c>
      <c r="AB53">
        <v>130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20.36281224</v>
      </c>
      <c r="AR53">
        <v>0</v>
      </c>
      <c r="AS53">
        <v>52</v>
      </c>
      <c r="AT53">
        <v>1</v>
      </c>
      <c r="AU53">
        <v>52</v>
      </c>
      <c r="AV53">
        <v>6</v>
      </c>
      <c r="AW53" t="s">
        <v>650</v>
      </c>
      <c r="AX53" t="s">
        <v>45</v>
      </c>
      <c r="AY53" t="s">
        <v>501</v>
      </c>
      <c r="AZ53">
        <v>1556</v>
      </c>
      <c r="BA53" t="s">
        <v>651</v>
      </c>
      <c r="BB53">
        <v>1711</v>
      </c>
      <c r="BC53" t="s">
        <v>652</v>
      </c>
      <c r="BD53">
        <v>1930</v>
      </c>
      <c r="BE53">
        <v>0</v>
      </c>
      <c r="BF53">
        <v>20.362687210000001</v>
      </c>
    </row>
    <row r="54" spans="1:58" x14ac:dyDescent="0.2">
      <c r="A54">
        <v>53</v>
      </c>
      <c r="B54" t="s">
        <v>97</v>
      </c>
      <c r="C54">
        <v>0</v>
      </c>
      <c r="H54" t="s">
        <v>97</v>
      </c>
      <c r="I54" t="s">
        <v>45</v>
      </c>
      <c r="Q54" t="s">
        <v>97</v>
      </c>
      <c r="R54">
        <v>16.89905048</v>
      </c>
      <c r="S54">
        <v>6</v>
      </c>
      <c r="T54">
        <v>130</v>
      </c>
      <c r="V54">
        <v>0</v>
      </c>
      <c r="W54">
        <v>0</v>
      </c>
      <c r="X54" t="s">
        <v>97</v>
      </c>
      <c r="Y54">
        <v>0</v>
      </c>
      <c r="Z54">
        <v>6</v>
      </c>
      <c r="AA54">
        <v>16.899999999999999</v>
      </c>
      <c r="AB54">
        <v>130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16.89905048</v>
      </c>
      <c r="AR54">
        <v>0</v>
      </c>
      <c r="AS54">
        <v>53</v>
      </c>
      <c r="AT54">
        <v>1</v>
      </c>
      <c r="AU54">
        <v>53</v>
      </c>
      <c r="AV54">
        <v>6</v>
      </c>
      <c r="AW54" t="s">
        <v>653</v>
      </c>
      <c r="AX54" t="s">
        <v>45</v>
      </c>
      <c r="AY54" t="s">
        <v>501</v>
      </c>
      <c r="AZ54">
        <v>1557</v>
      </c>
      <c r="BA54" t="s">
        <v>654</v>
      </c>
      <c r="BB54">
        <v>1712</v>
      </c>
      <c r="BC54" t="s">
        <v>655</v>
      </c>
      <c r="BD54">
        <v>1930</v>
      </c>
      <c r="BE54">
        <v>0</v>
      </c>
      <c r="BF54">
        <v>16.899076999999998</v>
      </c>
    </row>
    <row r="55" spans="1:58" x14ac:dyDescent="0.2">
      <c r="A55">
        <v>54</v>
      </c>
      <c r="B55" t="s">
        <v>98</v>
      </c>
      <c r="C55">
        <v>0</v>
      </c>
      <c r="H55" t="s">
        <v>98</v>
      </c>
      <c r="I55" t="s">
        <v>45</v>
      </c>
      <c r="Q55" t="s">
        <v>98</v>
      </c>
      <c r="R55">
        <v>74.852943460000006</v>
      </c>
      <c r="S55">
        <v>6</v>
      </c>
      <c r="T55">
        <v>130</v>
      </c>
      <c r="V55">
        <v>0</v>
      </c>
      <c r="W55">
        <v>0</v>
      </c>
      <c r="X55" t="s">
        <v>98</v>
      </c>
      <c r="Y55">
        <v>0</v>
      </c>
      <c r="Z55">
        <v>6</v>
      </c>
      <c r="AA55">
        <v>74.849999999999994</v>
      </c>
      <c r="AB55">
        <v>130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74.852943460000006</v>
      </c>
      <c r="AR55">
        <v>0</v>
      </c>
      <c r="AS55">
        <v>54</v>
      </c>
      <c r="AT55">
        <v>1</v>
      </c>
      <c r="AU55">
        <v>54</v>
      </c>
      <c r="AV55">
        <v>6</v>
      </c>
      <c r="AW55" t="s">
        <v>656</v>
      </c>
      <c r="AX55" t="s">
        <v>146</v>
      </c>
      <c r="AY55" t="s">
        <v>501</v>
      </c>
      <c r="AZ55">
        <v>1713</v>
      </c>
      <c r="BA55" t="s">
        <v>657</v>
      </c>
      <c r="BB55">
        <v>1013</v>
      </c>
      <c r="BC55" t="s">
        <v>646</v>
      </c>
      <c r="BD55">
        <v>1980</v>
      </c>
      <c r="BE55">
        <v>0</v>
      </c>
      <c r="BF55">
        <v>487.16825970000002</v>
      </c>
    </row>
    <row r="56" spans="1:58" x14ac:dyDescent="0.2">
      <c r="A56">
        <v>55</v>
      </c>
      <c r="B56" t="s">
        <v>99</v>
      </c>
      <c r="C56">
        <v>0</v>
      </c>
      <c r="H56" t="s">
        <v>99</v>
      </c>
      <c r="I56" t="s">
        <v>45</v>
      </c>
      <c r="Q56" t="s">
        <v>99</v>
      </c>
      <c r="R56">
        <v>60.0068038</v>
      </c>
      <c r="S56">
        <v>6</v>
      </c>
      <c r="T56">
        <v>130</v>
      </c>
      <c r="V56">
        <v>0</v>
      </c>
      <c r="W56">
        <v>0</v>
      </c>
      <c r="X56" t="s">
        <v>99</v>
      </c>
      <c r="Y56">
        <v>0</v>
      </c>
      <c r="Z56">
        <v>6</v>
      </c>
      <c r="AA56">
        <v>60.01</v>
      </c>
      <c r="AB56">
        <v>130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60.0068038</v>
      </c>
      <c r="AR56">
        <v>0</v>
      </c>
      <c r="AS56">
        <v>55</v>
      </c>
      <c r="AT56">
        <v>1</v>
      </c>
      <c r="AU56">
        <v>55</v>
      </c>
      <c r="AV56">
        <v>6</v>
      </c>
      <c r="AW56" t="s">
        <v>658</v>
      </c>
      <c r="AX56" t="s">
        <v>146</v>
      </c>
      <c r="AY56" t="s">
        <v>501</v>
      </c>
      <c r="AZ56">
        <v>1011</v>
      </c>
      <c r="BA56" t="s">
        <v>659</v>
      </c>
      <c r="BB56">
        <v>1714</v>
      </c>
      <c r="BC56" t="s">
        <v>660</v>
      </c>
      <c r="BD56">
        <v>1980</v>
      </c>
      <c r="BE56">
        <v>0</v>
      </c>
      <c r="BF56">
        <v>55.063468999999998</v>
      </c>
    </row>
    <row r="57" spans="1:58" x14ac:dyDescent="0.2">
      <c r="A57">
        <v>56</v>
      </c>
      <c r="B57" t="s">
        <v>100</v>
      </c>
      <c r="C57">
        <v>0</v>
      </c>
      <c r="H57" t="s">
        <v>100</v>
      </c>
      <c r="I57" t="s">
        <v>45</v>
      </c>
      <c r="Q57" t="s">
        <v>100</v>
      </c>
      <c r="R57">
        <v>47.564341919999997</v>
      </c>
      <c r="S57">
        <v>6</v>
      </c>
      <c r="T57">
        <v>130</v>
      </c>
      <c r="V57">
        <v>0</v>
      </c>
      <c r="W57">
        <v>0</v>
      </c>
      <c r="X57" t="s">
        <v>100</v>
      </c>
      <c r="Y57">
        <v>0</v>
      </c>
      <c r="Z57">
        <v>6</v>
      </c>
      <c r="AA57">
        <v>47.56</v>
      </c>
      <c r="AB57">
        <v>130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47.564341919999997</v>
      </c>
      <c r="AR57">
        <v>0</v>
      </c>
      <c r="AS57">
        <v>56</v>
      </c>
      <c r="AT57">
        <v>1</v>
      </c>
      <c r="AU57">
        <v>56</v>
      </c>
      <c r="AV57">
        <v>6</v>
      </c>
      <c r="AW57" t="s">
        <v>661</v>
      </c>
      <c r="AX57" t="s">
        <v>45</v>
      </c>
      <c r="AY57" t="s">
        <v>501</v>
      </c>
      <c r="AZ57">
        <v>1560</v>
      </c>
      <c r="BA57" t="s">
        <v>662</v>
      </c>
      <c r="BB57">
        <v>1715</v>
      </c>
      <c r="BC57" t="s">
        <v>663</v>
      </c>
      <c r="BD57">
        <v>1980</v>
      </c>
      <c r="BE57">
        <v>0</v>
      </c>
      <c r="BF57">
        <v>35.218649739999996</v>
      </c>
    </row>
    <row r="58" spans="1:58" x14ac:dyDescent="0.2">
      <c r="A58">
        <v>57</v>
      </c>
      <c r="B58" t="s">
        <v>101</v>
      </c>
      <c r="C58">
        <v>0</v>
      </c>
      <c r="H58" t="s">
        <v>101</v>
      </c>
      <c r="I58" t="s">
        <v>45</v>
      </c>
      <c r="Q58" t="s">
        <v>101</v>
      </c>
      <c r="R58">
        <v>53.970921060000002</v>
      </c>
      <c r="S58">
        <v>6</v>
      </c>
      <c r="T58">
        <v>130</v>
      </c>
      <c r="V58">
        <v>0</v>
      </c>
      <c r="W58">
        <v>0</v>
      </c>
      <c r="X58" t="s">
        <v>101</v>
      </c>
      <c r="Y58">
        <v>0</v>
      </c>
      <c r="Z58">
        <v>6</v>
      </c>
      <c r="AA58">
        <v>53.97</v>
      </c>
      <c r="AB58">
        <v>130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53.970921060000002</v>
      </c>
      <c r="AR58">
        <v>0</v>
      </c>
      <c r="AS58">
        <v>57</v>
      </c>
      <c r="AT58">
        <v>1</v>
      </c>
      <c r="AU58">
        <v>57</v>
      </c>
      <c r="AV58">
        <v>6</v>
      </c>
      <c r="AW58" t="s">
        <v>664</v>
      </c>
      <c r="AX58" t="s">
        <v>45</v>
      </c>
      <c r="AY58" t="s">
        <v>501</v>
      </c>
      <c r="AZ58">
        <v>1719</v>
      </c>
      <c r="BA58" t="s">
        <v>665</v>
      </c>
      <c r="BB58">
        <v>1717</v>
      </c>
      <c r="BC58" t="s">
        <v>666</v>
      </c>
      <c r="BD58">
        <v>2000</v>
      </c>
      <c r="BE58">
        <v>0</v>
      </c>
      <c r="BF58">
        <v>162.61892219999999</v>
      </c>
    </row>
    <row r="59" spans="1:58" x14ac:dyDescent="0.2">
      <c r="A59">
        <v>58</v>
      </c>
      <c r="B59" t="s">
        <v>102</v>
      </c>
      <c r="C59">
        <v>0</v>
      </c>
      <c r="H59" t="s">
        <v>102</v>
      </c>
      <c r="I59" t="s">
        <v>45</v>
      </c>
      <c r="Q59" t="s">
        <v>102</v>
      </c>
      <c r="R59">
        <v>137.87992700000001</v>
      </c>
      <c r="S59">
        <v>6</v>
      </c>
      <c r="T59">
        <v>130</v>
      </c>
      <c r="V59">
        <v>0</v>
      </c>
      <c r="W59">
        <v>0</v>
      </c>
      <c r="X59" t="s">
        <v>102</v>
      </c>
      <c r="Y59">
        <v>0</v>
      </c>
      <c r="Z59">
        <v>6</v>
      </c>
      <c r="AA59">
        <v>137.88</v>
      </c>
      <c r="AB59">
        <v>130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137.87992700000001</v>
      </c>
      <c r="AR59">
        <v>0</v>
      </c>
      <c r="AS59">
        <v>58</v>
      </c>
      <c r="AT59">
        <v>1</v>
      </c>
      <c r="AU59">
        <v>58</v>
      </c>
      <c r="AV59">
        <v>6</v>
      </c>
      <c r="AW59" t="s">
        <v>667</v>
      </c>
      <c r="AX59" t="s">
        <v>45</v>
      </c>
      <c r="AY59" t="s">
        <v>501</v>
      </c>
      <c r="AZ59">
        <v>1718</v>
      </c>
      <c r="BA59" t="s">
        <v>668</v>
      </c>
      <c r="BB59">
        <v>993</v>
      </c>
      <c r="BC59" t="s">
        <v>669</v>
      </c>
      <c r="BD59">
        <v>2000</v>
      </c>
      <c r="BE59">
        <v>0</v>
      </c>
      <c r="BF59">
        <v>178.86703679999999</v>
      </c>
    </row>
    <row r="60" spans="1:58" x14ac:dyDescent="0.2">
      <c r="A60">
        <v>59</v>
      </c>
      <c r="B60" t="s">
        <v>103</v>
      </c>
      <c r="C60">
        <v>0</v>
      </c>
      <c r="H60" t="s">
        <v>103</v>
      </c>
      <c r="I60" t="s">
        <v>45</v>
      </c>
      <c r="Q60" t="s">
        <v>103</v>
      </c>
      <c r="R60">
        <v>40.401627679999997</v>
      </c>
      <c r="S60">
        <v>6</v>
      </c>
      <c r="T60">
        <v>130</v>
      </c>
      <c r="V60">
        <v>0</v>
      </c>
      <c r="W60">
        <v>0</v>
      </c>
      <c r="X60" t="s">
        <v>103</v>
      </c>
      <c r="Y60">
        <v>0</v>
      </c>
      <c r="Z60">
        <v>6</v>
      </c>
      <c r="AA60">
        <v>40.4</v>
      </c>
      <c r="AB60">
        <v>130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40.401627670000003</v>
      </c>
      <c r="AR60">
        <v>0</v>
      </c>
      <c r="AS60">
        <v>59</v>
      </c>
      <c r="AT60">
        <v>1</v>
      </c>
      <c r="AU60">
        <v>59</v>
      </c>
      <c r="AV60">
        <v>6</v>
      </c>
      <c r="AW60" t="s">
        <v>667</v>
      </c>
      <c r="AX60" t="s">
        <v>45</v>
      </c>
      <c r="AY60" t="s">
        <v>501</v>
      </c>
      <c r="AZ60">
        <v>1718</v>
      </c>
      <c r="BA60" t="s">
        <v>668</v>
      </c>
      <c r="BB60">
        <v>993</v>
      </c>
      <c r="BC60" t="s">
        <v>669</v>
      </c>
      <c r="BD60">
        <v>2000</v>
      </c>
      <c r="BE60">
        <v>0</v>
      </c>
      <c r="BF60">
        <v>178.86703679999999</v>
      </c>
    </row>
    <row r="61" spans="1:58" x14ac:dyDescent="0.2">
      <c r="A61">
        <v>60</v>
      </c>
      <c r="B61" t="s">
        <v>104</v>
      </c>
      <c r="C61">
        <v>0</v>
      </c>
      <c r="H61" t="s">
        <v>104</v>
      </c>
      <c r="I61" t="s">
        <v>45</v>
      </c>
      <c r="Q61" t="s">
        <v>104</v>
      </c>
      <c r="R61">
        <v>50.539185410000002</v>
      </c>
      <c r="S61">
        <v>6</v>
      </c>
      <c r="T61">
        <v>130</v>
      </c>
      <c r="V61">
        <v>0</v>
      </c>
      <c r="W61">
        <v>0</v>
      </c>
      <c r="X61" t="s">
        <v>104</v>
      </c>
      <c r="Y61">
        <v>0</v>
      </c>
      <c r="Z61">
        <v>6</v>
      </c>
      <c r="AA61">
        <v>50.54</v>
      </c>
      <c r="AB61">
        <v>130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50.539185410000002</v>
      </c>
      <c r="AR61">
        <v>0</v>
      </c>
      <c r="AS61">
        <v>60</v>
      </c>
      <c r="AT61">
        <v>1</v>
      </c>
      <c r="AU61">
        <v>60</v>
      </c>
      <c r="AV61">
        <v>6</v>
      </c>
      <c r="AW61" t="s">
        <v>664</v>
      </c>
      <c r="AX61" t="s">
        <v>45</v>
      </c>
      <c r="AY61" t="s">
        <v>501</v>
      </c>
      <c r="AZ61">
        <v>1719</v>
      </c>
      <c r="BA61" t="s">
        <v>665</v>
      </c>
      <c r="BB61">
        <v>1717</v>
      </c>
      <c r="BC61" t="s">
        <v>666</v>
      </c>
      <c r="BD61">
        <v>2000</v>
      </c>
      <c r="BE61">
        <v>0</v>
      </c>
      <c r="BF61">
        <v>162.61892219999999</v>
      </c>
    </row>
    <row r="62" spans="1:58" x14ac:dyDescent="0.2">
      <c r="A62">
        <v>61</v>
      </c>
      <c r="B62" t="s">
        <v>105</v>
      </c>
      <c r="C62">
        <v>0</v>
      </c>
      <c r="H62" t="s">
        <v>105</v>
      </c>
      <c r="I62" t="s">
        <v>45</v>
      </c>
      <c r="Q62" t="s">
        <v>105</v>
      </c>
      <c r="R62">
        <v>130.1747675</v>
      </c>
      <c r="S62">
        <v>6</v>
      </c>
      <c r="T62">
        <v>130</v>
      </c>
      <c r="V62">
        <v>0</v>
      </c>
      <c r="W62">
        <v>0</v>
      </c>
      <c r="X62" t="s">
        <v>105</v>
      </c>
      <c r="Y62">
        <v>0</v>
      </c>
      <c r="Z62">
        <v>6</v>
      </c>
      <c r="AA62">
        <v>130.16999999999999</v>
      </c>
      <c r="AB62">
        <v>130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130.1747675</v>
      </c>
      <c r="AR62">
        <v>0</v>
      </c>
      <c r="AS62">
        <v>61</v>
      </c>
      <c r="AT62">
        <v>1</v>
      </c>
      <c r="AU62">
        <v>61</v>
      </c>
      <c r="AV62">
        <v>6</v>
      </c>
      <c r="AW62" t="s">
        <v>670</v>
      </c>
      <c r="AX62" t="s">
        <v>45</v>
      </c>
      <c r="AY62" t="s">
        <v>501</v>
      </c>
      <c r="AZ62">
        <v>1720</v>
      </c>
      <c r="BA62" t="s">
        <v>671</v>
      </c>
      <c r="BB62">
        <v>1721</v>
      </c>
      <c r="BC62" t="s">
        <v>672</v>
      </c>
      <c r="BD62">
        <v>2000</v>
      </c>
      <c r="BE62">
        <v>0</v>
      </c>
      <c r="BF62">
        <v>1079.139905</v>
      </c>
    </row>
    <row r="63" spans="1:58" x14ac:dyDescent="0.2">
      <c r="A63">
        <v>62</v>
      </c>
      <c r="B63" t="s">
        <v>106</v>
      </c>
      <c r="C63">
        <v>0</v>
      </c>
      <c r="H63" t="s">
        <v>106</v>
      </c>
      <c r="I63" t="s">
        <v>45</v>
      </c>
      <c r="Q63" t="s">
        <v>106</v>
      </c>
      <c r="R63">
        <v>36.637534340000002</v>
      </c>
      <c r="S63">
        <v>6</v>
      </c>
      <c r="T63">
        <v>130</v>
      </c>
      <c r="V63">
        <v>0</v>
      </c>
      <c r="W63">
        <v>0</v>
      </c>
      <c r="X63" t="s">
        <v>106</v>
      </c>
      <c r="Y63">
        <v>0</v>
      </c>
      <c r="Z63">
        <v>6</v>
      </c>
      <c r="AA63">
        <v>36.64</v>
      </c>
      <c r="AB63">
        <v>130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36.637534340000002</v>
      </c>
      <c r="AR63">
        <v>0</v>
      </c>
      <c r="AS63">
        <v>62</v>
      </c>
      <c r="AT63">
        <v>1</v>
      </c>
      <c r="AU63">
        <v>62</v>
      </c>
      <c r="AV63">
        <v>6</v>
      </c>
      <c r="AW63" t="s">
        <v>673</v>
      </c>
      <c r="AX63" t="s">
        <v>45</v>
      </c>
      <c r="AY63" t="s">
        <v>501</v>
      </c>
      <c r="AZ63">
        <v>1721</v>
      </c>
      <c r="BA63" t="s">
        <v>672</v>
      </c>
      <c r="BB63">
        <v>1022</v>
      </c>
      <c r="BC63" t="s">
        <v>674</v>
      </c>
      <c r="BD63">
        <v>2000</v>
      </c>
      <c r="BE63">
        <v>0</v>
      </c>
      <c r="BF63">
        <v>94.663847709999999</v>
      </c>
    </row>
    <row r="64" spans="1:58" x14ac:dyDescent="0.2">
      <c r="A64">
        <v>63</v>
      </c>
      <c r="B64" t="s">
        <v>107</v>
      </c>
      <c r="C64">
        <v>0</v>
      </c>
      <c r="H64" t="s">
        <v>107</v>
      </c>
      <c r="I64" t="s">
        <v>45</v>
      </c>
      <c r="Q64" t="s">
        <v>107</v>
      </c>
      <c r="R64">
        <v>29.96011365</v>
      </c>
      <c r="S64">
        <v>6</v>
      </c>
      <c r="T64">
        <v>130</v>
      </c>
      <c r="V64">
        <v>0</v>
      </c>
      <c r="W64">
        <v>0</v>
      </c>
      <c r="X64" t="s">
        <v>107</v>
      </c>
      <c r="Y64">
        <v>0</v>
      </c>
      <c r="Z64">
        <v>6</v>
      </c>
      <c r="AA64">
        <v>29.96</v>
      </c>
      <c r="AB64">
        <v>130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29.96011365</v>
      </c>
      <c r="AR64">
        <v>0</v>
      </c>
      <c r="AS64">
        <v>63</v>
      </c>
      <c r="AT64">
        <v>1</v>
      </c>
      <c r="AU64">
        <v>63</v>
      </c>
      <c r="AV64">
        <v>6</v>
      </c>
      <c r="AW64" t="s">
        <v>675</v>
      </c>
      <c r="AX64" t="s">
        <v>45</v>
      </c>
      <c r="AY64" t="s">
        <v>501</v>
      </c>
      <c r="AZ64">
        <v>1032</v>
      </c>
      <c r="BA64" t="s">
        <v>676</v>
      </c>
      <c r="BB64">
        <v>1722</v>
      </c>
      <c r="BC64" t="s">
        <v>677</v>
      </c>
      <c r="BD64">
        <v>2000</v>
      </c>
      <c r="BE64">
        <v>0</v>
      </c>
      <c r="BF64">
        <v>54.234903850000002</v>
      </c>
    </row>
    <row r="65" spans="1:58" x14ac:dyDescent="0.2">
      <c r="A65">
        <v>64</v>
      </c>
      <c r="B65" t="s">
        <v>108</v>
      </c>
      <c r="C65">
        <v>0</v>
      </c>
      <c r="H65" t="s">
        <v>108</v>
      </c>
      <c r="I65" t="s">
        <v>45</v>
      </c>
      <c r="Q65" t="s">
        <v>108</v>
      </c>
      <c r="R65">
        <v>0.64843706300000004</v>
      </c>
      <c r="S65">
        <v>6</v>
      </c>
      <c r="T65">
        <v>130</v>
      </c>
      <c r="V65">
        <v>0</v>
      </c>
      <c r="W65">
        <v>0</v>
      </c>
      <c r="X65" t="s">
        <v>108</v>
      </c>
      <c r="Y65">
        <v>0</v>
      </c>
      <c r="Z65">
        <v>6</v>
      </c>
      <c r="AA65">
        <v>0.65</v>
      </c>
      <c r="AB65">
        <v>130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0.64843706300000004</v>
      </c>
      <c r="AR65">
        <v>0</v>
      </c>
      <c r="AS65">
        <v>64</v>
      </c>
      <c r="AT65">
        <v>1</v>
      </c>
      <c r="AU65">
        <v>64</v>
      </c>
      <c r="AV65">
        <v>6</v>
      </c>
      <c r="AW65" t="s">
        <v>678</v>
      </c>
      <c r="AX65" t="s">
        <v>45</v>
      </c>
      <c r="AY65" t="s">
        <v>501</v>
      </c>
      <c r="AZ65">
        <v>1723</v>
      </c>
      <c r="BA65" t="s">
        <v>679</v>
      </c>
      <c r="BB65">
        <v>1033</v>
      </c>
      <c r="BC65" t="s">
        <v>680</v>
      </c>
      <c r="BD65">
        <v>2000</v>
      </c>
      <c r="BE65">
        <v>0</v>
      </c>
      <c r="BF65">
        <v>822.01816440000005</v>
      </c>
    </row>
    <row r="66" spans="1:58" x14ac:dyDescent="0.2">
      <c r="A66">
        <v>65</v>
      </c>
      <c r="B66" t="s">
        <v>109</v>
      </c>
      <c r="C66">
        <v>0</v>
      </c>
      <c r="H66" t="s">
        <v>109</v>
      </c>
      <c r="I66" t="s">
        <v>45</v>
      </c>
      <c r="Q66" t="s">
        <v>109</v>
      </c>
      <c r="R66">
        <v>61.888741029999998</v>
      </c>
      <c r="S66">
        <v>6</v>
      </c>
      <c r="T66">
        <v>130</v>
      </c>
      <c r="V66">
        <v>0</v>
      </c>
      <c r="W66">
        <v>0</v>
      </c>
      <c r="X66" t="s">
        <v>109</v>
      </c>
      <c r="Y66">
        <v>0</v>
      </c>
      <c r="Z66">
        <v>6</v>
      </c>
      <c r="AA66">
        <v>61.89</v>
      </c>
      <c r="AB66">
        <v>130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61.888741029999998</v>
      </c>
      <c r="AR66">
        <v>0</v>
      </c>
      <c r="AS66">
        <v>65</v>
      </c>
      <c r="AT66">
        <v>1</v>
      </c>
      <c r="AU66">
        <v>65</v>
      </c>
      <c r="AV66">
        <v>6</v>
      </c>
      <c r="AW66" t="s">
        <v>681</v>
      </c>
      <c r="AX66" t="s">
        <v>45</v>
      </c>
      <c r="AY66" t="s">
        <v>501</v>
      </c>
      <c r="AZ66">
        <v>1724</v>
      </c>
      <c r="BA66" t="s">
        <v>682</v>
      </c>
      <c r="BB66">
        <v>1033</v>
      </c>
      <c r="BC66" t="s">
        <v>680</v>
      </c>
      <c r="BD66">
        <v>1980</v>
      </c>
      <c r="BE66">
        <v>0</v>
      </c>
      <c r="BF66">
        <v>72.567902509999996</v>
      </c>
    </row>
    <row r="67" spans="1:58" x14ac:dyDescent="0.2">
      <c r="A67">
        <v>66</v>
      </c>
      <c r="B67" t="s">
        <v>110</v>
      </c>
      <c r="C67">
        <v>0</v>
      </c>
      <c r="H67" t="s">
        <v>110</v>
      </c>
      <c r="I67" t="s">
        <v>45</v>
      </c>
      <c r="Q67" t="s">
        <v>110</v>
      </c>
      <c r="R67">
        <v>67.535537930000004</v>
      </c>
      <c r="S67">
        <v>6</v>
      </c>
      <c r="T67">
        <v>130</v>
      </c>
      <c r="V67">
        <v>0</v>
      </c>
      <c r="W67">
        <v>0</v>
      </c>
      <c r="X67" t="s">
        <v>110</v>
      </c>
      <c r="Y67">
        <v>0</v>
      </c>
      <c r="Z67">
        <v>6</v>
      </c>
      <c r="AA67">
        <v>67.540000000000006</v>
      </c>
      <c r="AB67">
        <v>130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67.535537930000004</v>
      </c>
      <c r="AR67">
        <v>0</v>
      </c>
      <c r="AS67">
        <v>66</v>
      </c>
      <c r="AT67">
        <v>1</v>
      </c>
      <c r="AU67">
        <v>66</v>
      </c>
      <c r="AV67">
        <v>6</v>
      </c>
      <c r="AW67" t="s">
        <v>683</v>
      </c>
      <c r="AX67" t="s">
        <v>45</v>
      </c>
      <c r="AY67" t="s">
        <v>501</v>
      </c>
      <c r="AZ67">
        <v>1725</v>
      </c>
      <c r="BA67" t="s">
        <v>684</v>
      </c>
      <c r="BB67">
        <v>1724</v>
      </c>
      <c r="BC67" t="s">
        <v>682</v>
      </c>
      <c r="BD67">
        <v>2000</v>
      </c>
      <c r="BE67">
        <v>0</v>
      </c>
      <c r="BF67">
        <v>492.81012629999998</v>
      </c>
    </row>
    <row r="68" spans="1:58" x14ac:dyDescent="0.2">
      <c r="A68">
        <v>67</v>
      </c>
      <c r="B68" t="s">
        <v>111</v>
      </c>
      <c r="C68">
        <v>0</v>
      </c>
      <c r="H68" t="s">
        <v>111</v>
      </c>
      <c r="I68" t="s">
        <v>45</v>
      </c>
      <c r="Q68" t="s">
        <v>111</v>
      </c>
      <c r="R68">
        <v>13.11924061</v>
      </c>
      <c r="S68">
        <v>6</v>
      </c>
      <c r="T68">
        <v>130</v>
      </c>
      <c r="V68">
        <v>0</v>
      </c>
      <c r="W68">
        <v>0</v>
      </c>
      <c r="X68" t="s">
        <v>111</v>
      </c>
      <c r="Y68">
        <v>0</v>
      </c>
      <c r="Z68">
        <v>6</v>
      </c>
      <c r="AA68">
        <v>13.12</v>
      </c>
      <c r="AB68">
        <v>130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13.11924061</v>
      </c>
      <c r="AR68">
        <v>0</v>
      </c>
      <c r="AS68">
        <v>67</v>
      </c>
      <c r="AT68">
        <v>1</v>
      </c>
      <c r="AU68">
        <v>67</v>
      </c>
      <c r="AV68">
        <v>6</v>
      </c>
      <c r="AW68" t="s">
        <v>685</v>
      </c>
      <c r="AX68" t="s">
        <v>45</v>
      </c>
      <c r="AY68" t="s">
        <v>501</v>
      </c>
      <c r="AZ68">
        <v>974</v>
      </c>
      <c r="BA68" t="s">
        <v>686</v>
      </c>
      <c r="BB68">
        <v>1729</v>
      </c>
      <c r="BC68" t="s">
        <v>687</v>
      </c>
      <c r="BD68">
        <v>2000</v>
      </c>
      <c r="BE68">
        <v>0</v>
      </c>
      <c r="BF68">
        <v>1095.6713669999999</v>
      </c>
    </row>
    <row r="69" spans="1:58" x14ac:dyDescent="0.2">
      <c r="A69">
        <v>68</v>
      </c>
      <c r="B69" t="s">
        <v>112</v>
      </c>
      <c r="C69">
        <v>0</v>
      </c>
      <c r="H69" t="s">
        <v>112</v>
      </c>
      <c r="I69" t="s">
        <v>45</v>
      </c>
      <c r="Q69" t="s">
        <v>112</v>
      </c>
      <c r="R69">
        <v>37.71846498</v>
      </c>
      <c r="S69">
        <v>6</v>
      </c>
      <c r="T69">
        <v>130</v>
      </c>
      <c r="V69">
        <v>0</v>
      </c>
      <c r="W69">
        <v>0</v>
      </c>
      <c r="X69" t="s">
        <v>112</v>
      </c>
      <c r="Y69">
        <v>0</v>
      </c>
      <c r="Z69">
        <v>6</v>
      </c>
      <c r="AA69">
        <v>37.72</v>
      </c>
      <c r="AB69">
        <v>130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37.71846498</v>
      </c>
      <c r="AR69">
        <v>0</v>
      </c>
      <c r="AS69">
        <v>68</v>
      </c>
      <c r="AT69">
        <v>1</v>
      </c>
      <c r="AU69">
        <v>68</v>
      </c>
      <c r="AV69">
        <v>6</v>
      </c>
      <c r="AW69" t="s">
        <v>688</v>
      </c>
      <c r="AX69" t="s">
        <v>45</v>
      </c>
      <c r="AY69" t="s">
        <v>501</v>
      </c>
      <c r="AZ69">
        <v>1727</v>
      </c>
      <c r="BA69" t="s">
        <v>689</v>
      </c>
      <c r="BB69">
        <v>1728</v>
      </c>
      <c r="BC69" t="s">
        <v>690</v>
      </c>
      <c r="BD69">
        <v>2000</v>
      </c>
      <c r="BE69">
        <v>0</v>
      </c>
      <c r="BF69">
        <v>371.31279699999999</v>
      </c>
    </row>
    <row r="70" spans="1:58" x14ac:dyDescent="0.2">
      <c r="A70">
        <v>69</v>
      </c>
      <c r="B70" t="s">
        <v>113</v>
      </c>
      <c r="C70">
        <v>0</v>
      </c>
      <c r="H70" t="s">
        <v>113</v>
      </c>
      <c r="I70" t="s">
        <v>45</v>
      </c>
      <c r="Q70" t="s">
        <v>113</v>
      </c>
      <c r="R70">
        <v>34.8410321</v>
      </c>
      <c r="S70">
        <v>6</v>
      </c>
      <c r="T70">
        <v>130</v>
      </c>
      <c r="V70">
        <v>0</v>
      </c>
      <c r="W70">
        <v>0</v>
      </c>
      <c r="X70" t="s">
        <v>113</v>
      </c>
      <c r="Y70">
        <v>0</v>
      </c>
      <c r="Z70">
        <v>6</v>
      </c>
      <c r="AA70">
        <v>34.840000000000003</v>
      </c>
      <c r="AB70">
        <v>130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34.8410321</v>
      </c>
      <c r="AR70">
        <v>0</v>
      </c>
      <c r="AS70">
        <v>69</v>
      </c>
      <c r="AT70">
        <v>1</v>
      </c>
      <c r="AU70">
        <v>69</v>
      </c>
      <c r="AV70">
        <v>6</v>
      </c>
      <c r="AW70" t="s">
        <v>691</v>
      </c>
      <c r="AX70" t="s">
        <v>45</v>
      </c>
      <c r="AY70" t="s">
        <v>501</v>
      </c>
      <c r="AZ70">
        <v>1728</v>
      </c>
      <c r="BA70" t="s">
        <v>690</v>
      </c>
      <c r="BB70">
        <v>1060</v>
      </c>
      <c r="BC70" t="s">
        <v>692</v>
      </c>
      <c r="BD70">
        <v>2000</v>
      </c>
      <c r="BE70">
        <v>0</v>
      </c>
      <c r="BF70">
        <v>361.08489539999999</v>
      </c>
    </row>
    <row r="71" spans="1:58" x14ac:dyDescent="0.2">
      <c r="A71">
        <v>70</v>
      </c>
      <c r="B71" t="s">
        <v>114</v>
      </c>
      <c r="C71">
        <v>0</v>
      </c>
      <c r="H71" t="s">
        <v>114</v>
      </c>
      <c r="I71" t="s">
        <v>45</v>
      </c>
      <c r="Q71" t="s">
        <v>114</v>
      </c>
      <c r="R71">
        <v>10.8555458</v>
      </c>
      <c r="S71">
        <v>6</v>
      </c>
      <c r="T71">
        <v>130</v>
      </c>
      <c r="V71">
        <v>0</v>
      </c>
      <c r="W71">
        <v>0</v>
      </c>
      <c r="X71" t="s">
        <v>114</v>
      </c>
      <c r="Y71">
        <v>0</v>
      </c>
      <c r="Z71">
        <v>6</v>
      </c>
      <c r="AA71">
        <v>10.86</v>
      </c>
      <c r="AB71">
        <v>130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10.8555458</v>
      </c>
      <c r="AR71">
        <v>0</v>
      </c>
      <c r="AS71">
        <v>70</v>
      </c>
      <c r="AT71">
        <v>1</v>
      </c>
      <c r="AU71">
        <v>70</v>
      </c>
      <c r="AV71">
        <v>6</v>
      </c>
      <c r="AW71" t="s">
        <v>685</v>
      </c>
      <c r="AX71" t="s">
        <v>45</v>
      </c>
      <c r="AY71" t="s">
        <v>501</v>
      </c>
      <c r="AZ71">
        <v>974</v>
      </c>
      <c r="BA71" t="s">
        <v>686</v>
      </c>
      <c r="BB71">
        <v>1729</v>
      </c>
      <c r="BC71" t="s">
        <v>687</v>
      </c>
      <c r="BD71">
        <v>2000</v>
      </c>
      <c r="BE71">
        <v>0</v>
      </c>
      <c r="BF71">
        <v>1095.6713669999999</v>
      </c>
    </row>
    <row r="72" spans="1:58" x14ac:dyDescent="0.2">
      <c r="A72">
        <v>71</v>
      </c>
      <c r="B72" t="s">
        <v>115</v>
      </c>
      <c r="C72">
        <v>0</v>
      </c>
      <c r="H72" t="s">
        <v>115</v>
      </c>
      <c r="I72" t="s">
        <v>45</v>
      </c>
      <c r="Q72" t="s">
        <v>115</v>
      </c>
      <c r="R72">
        <v>27.54976855</v>
      </c>
      <c r="S72">
        <v>6</v>
      </c>
      <c r="T72">
        <v>130</v>
      </c>
      <c r="V72">
        <v>0</v>
      </c>
      <c r="W72">
        <v>0</v>
      </c>
      <c r="X72" t="s">
        <v>115</v>
      </c>
      <c r="Y72">
        <v>0</v>
      </c>
      <c r="Z72">
        <v>6</v>
      </c>
      <c r="AA72">
        <v>27.55</v>
      </c>
      <c r="AB72">
        <v>130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27.54976855</v>
      </c>
      <c r="AR72">
        <v>0</v>
      </c>
      <c r="AS72">
        <v>71</v>
      </c>
      <c r="AT72">
        <v>1</v>
      </c>
      <c r="AU72">
        <v>71</v>
      </c>
      <c r="AV72">
        <v>6</v>
      </c>
      <c r="AW72" t="s">
        <v>693</v>
      </c>
      <c r="AX72" t="s">
        <v>45</v>
      </c>
      <c r="AY72" t="s">
        <v>501</v>
      </c>
      <c r="AZ72">
        <v>1575</v>
      </c>
      <c r="BA72" t="s">
        <v>694</v>
      </c>
      <c r="BB72">
        <v>882</v>
      </c>
      <c r="BC72" t="s">
        <v>695</v>
      </c>
      <c r="BD72">
        <v>2000</v>
      </c>
      <c r="BE72">
        <v>0</v>
      </c>
      <c r="BF72">
        <v>30.548220449999999</v>
      </c>
    </row>
    <row r="73" spans="1:58" x14ac:dyDescent="0.2">
      <c r="A73">
        <v>72</v>
      </c>
      <c r="B73" t="s">
        <v>116</v>
      </c>
      <c r="C73">
        <v>0</v>
      </c>
      <c r="H73" t="s">
        <v>116</v>
      </c>
      <c r="I73" t="s">
        <v>45</v>
      </c>
      <c r="Q73" t="s">
        <v>116</v>
      </c>
      <c r="R73">
        <v>21.275438900000001</v>
      </c>
      <c r="S73">
        <v>6</v>
      </c>
      <c r="T73">
        <v>130</v>
      </c>
      <c r="V73">
        <v>0</v>
      </c>
      <c r="W73">
        <v>0</v>
      </c>
      <c r="X73" t="s">
        <v>116</v>
      </c>
      <c r="Y73">
        <v>0</v>
      </c>
      <c r="Z73">
        <v>6</v>
      </c>
      <c r="AA73">
        <v>21.28</v>
      </c>
      <c r="AB73">
        <v>130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21.275438900000001</v>
      </c>
      <c r="AR73">
        <v>0</v>
      </c>
      <c r="AS73">
        <v>72</v>
      </c>
      <c r="AT73">
        <v>1</v>
      </c>
      <c r="AU73">
        <v>72</v>
      </c>
      <c r="AV73">
        <v>6</v>
      </c>
      <c r="AW73" t="s">
        <v>696</v>
      </c>
      <c r="AX73" t="s">
        <v>45</v>
      </c>
      <c r="AY73" t="s">
        <v>501</v>
      </c>
      <c r="AZ73">
        <v>948</v>
      </c>
      <c r="BA73" t="s">
        <v>697</v>
      </c>
      <c r="BB73">
        <v>1730</v>
      </c>
      <c r="BC73" t="s">
        <v>698</v>
      </c>
      <c r="BD73">
        <v>1950</v>
      </c>
      <c r="BE73">
        <v>0</v>
      </c>
      <c r="BF73">
        <v>51.0650385</v>
      </c>
    </row>
    <row r="74" spans="1:58" x14ac:dyDescent="0.2">
      <c r="A74">
        <v>73</v>
      </c>
      <c r="B74" t="s">
        <v>117</v>
      </c>
      <c r="C74">
        <v>0</v>
      </c>
      <c r="H74" t="s">
        <v>117</v>
      </c>
      <c r="I74" t="s">
        <v>45</v>
      </c>
      <c r="Q74" t="s">
        <v>117</v>
      </c>
      <c r="R74">
        <v>13.35876466</v>
      </c>
      <c r="S74">
        <v>6</v>
      </c>
      <c r="T74">
        <v>130</v>
      </c>
      <c r="V74">
        <v>0</v>
      </c>
      <c r="W74">
        <v>0</v>
      </c>
      <c r="X74" t="s">
        <v>117</v>
      </c>
      <c r="Y74">
        <v>0</v>
      </c>
      <c r="Z74">
        <v>6</v>
      </c>
      <c r="AA74">
        <v>13.36</v>
      </c>
      <c r="AB74">
        <v>130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13.35876466</v>
      </c>
      <c r="AR74">
        <v>0</v>
      </c>
      <c r="AS74">
        <v>73</v>
      </c>
      <c r="AT74">
        <v>1</v>
      </c>
      <c r="AU74">
        <v>73</v>
      </c>
      <c r="AV74">
        <v>2</v>
      </c>
      <c r="AW74" t="s">
        <v>699</v>
      </c>
      <c r="AX74" t="s">
        <v>141</v>
      </c>
      <c r="AY74" t="s">
        <v>501</v>
      </c>
      <c r="AZ74">
        <v>947</v>
      </c>
      <c r="BA74" t="s">
        <v>700</v>
      </c>
      <c r="BB74">
        <v>1731</v>
      </c>
      <c r="BC74" t="s">
        <v>701</v>
      </c>
      <c r="BD74">
        <v>1950</v>
      </c>
      <c r="BE74">
        <v>0</v>
      </c>
      <c r="BF74">
        <v>317.22261889999999</v>
      </c>
    </row>
    <row r="75" spans="1:58" x14ac:dyDescent="0.2">
      <c r="A75">
        <v>74</v>
      </c>
      <c r="B75" t="s">
        <v>118</v>
      </c>
      <c r="C75">
        <v>0</v>
      </c>
      <c r="H75" t="s">
        <v>118</v>
      </c>
      <c r="I75" t="s">
        <v>45</v>
      </c>
      <c r="Q75" t="s">
        <v>118</v>
      </c>
      <c r="R75">
        <v>52.618579320000002</v>
      </c>
      <c r="S75">
        <v>6</v>
      </c>
      <c r="T75">
        <v>130</v>
      </c>
      <c r="V75">
        <v>0</v>
      </c>
      <c r="W75">
        <v>0</v>
      </c>
      <c r="X75" t="s">
        <v>118</v>
      </c>
      <c r="Y75">
        <v>0</v>
      </c>
      <c r="Z75">
        <v>6</v>
      </c>
      <c r="AA75">
        <v>52.62</v>
      </c>
      <c r="AB75">
        <v>130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52.618579320000002</v>
      </c>
      <c r="AR75">
        <v>0</v>
      </c>
      <c r="AS75">
        <v>74</v>
      </c>
      <c r="AT75">
        <v>1</v>
      </c>
      <c r="AU75">
        <v>74</v>
      </c>
      <c r="AV75">
        <v>6</v>
      </c>
      <c r="AW75" t="s">
        <v>702</v>
      </c>
      <c r="AX75" t="s">
        <v>158</v>
      </c>
      <c r="AY75" t="s">
        <v>501</v>
      </c>
      <c r="AZ75">
        <v>1733</v>
      </c>
      <c r="BA75" t="s">
        <v>703</v>
      </c>
      <c r="BB75">
        <v>1732</v>
      </c>
      <c r="BC75" t="s">
        <v>704</v>
      </c>
      <c r="BD75">
        <v>1950</v>
      </c>
      <c r="BE75">
        <v>0</v>
      </c>
      <c r="BF75">
        <v>214.5078134</v>
      </c>
    </row>
    <row r="76" spans="1:58" x14ac:dyDescent="0.2">
      <c r="A76">
        <v>75</v>
      </c>
      <c r="B76" t="s">
        <v>119</v>
      </c>
      <c r="C76">
        <v>0</v>
      </c>
      <c r="H76" t="s">
        <v>119</v>
      </c>
      <c r="I76" t="s">
        <v>45</v>
      </c>
      <c r="Q76" t="s">
        <v>119</v>
      </c>
      <c r="R76">
        <v>337.67271469999997</v>
      </c>
      <c r="S76">
        <v>6</v>
      </c>
      <c r="T76">
        <v>130</v>
      </c>
      <c r="V76">
        <v>0</v>
      </c>
      <c r="W76">
        <v>0</v>
      </c>
      <c r="X76" t="s">
        <v>119</v>
      </c>
      <c r="Y76">
        <v>0</v>
      </c>
      <c r="Z76">
        <v>6</v>
      </c>
      <c r="AA76">
        <v>337.67</v>
      </c>
      <c r="AB76">
        <v>130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337.67271469999997</v>
      </c>
      <c r="AR76">
        <v>0</v>
      </c>
      <c r="AS76">
        <v>75</v>
      </c>
      <c r="AT76">
        <v>1</v>
      </c>
      <c r="AU76">
        <v>75</v>
      </c>
      <c r="AV76">
        <v>6</v>
      </c>
      <c r="AW76" t="s">
        <v>705</v>
      </c>
      <c r="AX76" t="s">
        <v>158</v>
      </c>
      <c r="AY76" t="s">
        <v>501</v>
      </c>
      <c r="AZ76">
        <v>1007</v>
      </c>
      <c r="BA76" t="s">
        <v>706</v>
      </c>
      <c r="BB76">
        <v>1733</v>
      </c>
      <c r="BC76" t="s">
        <v>703</v>
      </c>
      <c r="BD76">
        <v>1950</v>
      </c>
      <c r="BE76">
        <v>0</v>
      </c>
      <c r="BF76">
        <v>419.59670469999998</v>
      </c>
    </row>
    <row r="77" spans="1:58" x14ac:dyDescent="0.2">
      <c r="A77">
        <v>76</v>
      </c>
      <c r="B77" t="s">
        <v>120</v>
      </c>
      <c r="C77">
        <v>0</v>
      </c>
      <c r="H77" t="s">
        <v>120</v>
      </c>
      <c r="I77" t="s">
        <v>45</v>
      </c>
      <c r="Q77" t="s">
        <v>120</v>
      </c>
      <c r="R77">
        <v>98.555518969999994</v>
      </c>
      <c r="S77">
        <v>6</v>
      </c>
      <c r="T77">
        <v>130</v>
      </c>
      <c r="V77">
        <v>0</v>
      </c>
      <c r="W77">
        <v>0</v>
      </c>
      <c r="X77" t="s">
        <v>120</v>
      </c>
      <c r="Y77">
        <v>0</v>
      </c>
      <c r="Z77">
        <v>6</v>
      </c>
      <c r="AA77">
        <v>98.56</v>
      </c>
      <c r="AB77">
        <v>130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98.555518969999994</v>
      </c>
      <c r="AR77">
        <v>0</v>
      </c>
      <c r="AS77">
        <v>76</v>
      </c>
      <c r="AT77">
        <v>1</v>
      </c>
      <c r="AU77">
        <v>76</v>
      </c>
      <c r="AV77">
        <v>6</v>
      </c>
      <c r="AW77" t="s">
        <v>707</v>
      </c>
      <c r="AX77" t="s">
        <v>45</v>
      </c>
      <c r="AY77" t="s">
        <v>501</v>
      </c>
      <c r="AZ77">
        <v>1734</v>
      </c>
      <c r="BA77" t="s">
        <v>708</v>
      </c>
      <c r="BB77">
        <v>1065</v>
      </c>
      <c r="BC77" t="s">
        <v>709</v>
      </c>
      <c r="BD77">
        <v>2000</v>
      </c>
      <c r="BE77">
        <v>1</v>
      </c>
      <c r="BF77">
        <v>736.17760799999996</v>
      </c>
    </row>
    <row r="78" spans="1:58" x14ac:dyDescent="0.2">
      <c r="A78">
        <v>77</v>
      </c>
      <c r="B78" t="s">
        <v>121</v>
      </c>
      <c r="C78">
        <v>0</v>
      </c>
      <c r="H78" t="s">
        <v>121</v>
      </c>
      <c r="I78" t="s">
        <v>45</v>
      </c>
      <c r="Q78" t="s">
        <v>121</v>
      </c>
      <c r="R78">
        <v>78.316999850000002</v>
      </c>
      <c r="S78">
        <v>6</v>
      </c>
      <c r="T78">
        <v>130</v>
      </c>
      <c r="V78">
        <v>0</v>
      </c>
      <c r="W78">
        <v>0</v>
      </c>
      <c r="X78" t="s">
        <v>121</v>
      </c>
      <c r="Y78">
        <v>0</v>
      </c>
      <c r="Z78">
        <v>6</v>
      </c>
      <c r="AA78">
        <v>78.319999999999993</v>
      </c>
      <c r="AB78">
        <v>130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78.316999850000002</v>
      </c>
      <c r="AR78">
        <v>0</v>
      </c>
      <c r="AS78">
        <v>77</v>
      </c>
      <c r="AT78">
        <v>1</v>
      </c>
      <c r="AU78">
        <v>77</v>
      </c>
      <c r="AV78">
        <v>6</v>
      </c>
      <c r="AW78" t="s">
        <v>710</v>
      </c>
      <c r="AX78" t="s">
        <v>45</v>
      </c>
      <c r="AY78" t="s">
        <v>501</v>
      </c>
      <c r="AZ78">
        <v>1735</v>
      </c>
      <c r="BA78" t="s">
        <v>711</v>
      </c>
      <c r="BB78">
        <v>1066</v>
      </c>
      <c r="BC78" t="s">
        <v>712</v>
      </c>
      <c r="BD78">
        <v>2000</v>
      </c>
      <c r="BE78">
        <v>1</v>
      </c>
      <c r="BF78">
        <v>5442.121384</v>
      </c>
    </row>
    <row r="79" spans="1:58" x14ac:dyDescent="0.2">
      <c r="A79">
        <v>78</v>
      </c>
      <c r="B79" t="s">
        <v>122</v>
      </c>
      <c r="C79">
        <v>0</v>
      </c>
      <c r="H79" t="s">
        <v>122</v>
      </c>
      <c r="I79" t="s">
        <v>45</v>
      </c>
      <c r="Q79" t="s">
        <v>122</v>
      </c>
      <c r="R79">
        <v>45.139138580000001</v>
      </c>
      <c r="S79">
        <v>6</v>
      </c>
      <c r="T79">
        <v>130</v>
      </c>
      <c r="V79">
        <v>0</v>
      </c>
      <c r="W79">
        <v>0</v>
      </c>
      <c r="X79" t="s">
        <v>122</v>
      </c>
      <c r="Y79">
        <v>0</v>
      </c>
      <c r="Z79">
        <v>6</v>
      </c>
      <c r="AA79">
        <v>45.14</v>
      </c>
      <c r="AB79">
        <v>130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45.139138580000001</v>
      </c>
      <c r="AR79">
        <v>0</v>
      </c>
      <c r="AS79">
        <v>78</v>
      </c>
      <c r="AT79">
        <v>1</v>
      </c>
      <c r="AU79">
        <v>78</v>
      </c>
      <c r="AV79">
        <v>8</v>
      </c>
      <c r="AW79" t="s">
        <v>713</v>
      </c>
      <c r="AX79" t="s">
        <v>158</v>
      </c>
      <c r="AY79" t="s">
        <v>501</v>
      </c>
      <c r="AZ79">
        <v>1736</v>
      </c>
      <c r="BA79" t="s">
        <v>714</v>
      </c>
      <c r="BB79">
        <v>1007</v>
      </c>
      <c r="BC79" t="s">
        <v>706</v>
      </c>
      <c r="BD79">
        <v>1950</v>
      </c>
      <c r="BE79">
        <v>1</v>
      </c>
      <c r="BF79">
        <v>640.93925300000001</v>
      </c>
    </row>
    <row r="80" spans="1:58" x14ac:dyDescent="0.2">
      <c r="A80">
        <v>79</v>
      </c>
      <c r="B80" t="s">
        <v>123</v>
      </c>
      <c r="C80">
        <v>0</v>
      </c>
      <c r="H80" t="s">
        <v>123</v>
      </c>
      <c r="I80" t="s">
        <v>45</v>
      </c>
      <c r="Q80" t="s">
        <v>123</v>
      </c>
      <c r="R80">
        <v>45.021944939999997</v>
      </c>
      <c r="S80">
        <v>6</v>
      </c>
      <c r="T80">
        <v>130</v>
      </c>
      <c r="V80">
        <v>0</v>
      </c>
      <c r="W80">
        <v>0</v>
      </c>
      <c r="X80" t="s">
        <v>123</v>
      </c>
      <c r="Y80">
        <v>0</v>
      </c>
      <c r="Z80">
        <v>6</v>
      </c>
      <c r="AA80">
        <v>45.02</v>
      </c>
      <c r="AB80">
        <v>130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45.021944939999997</v>
      </c>
      <c r="AR80">
        <v>0</v>
      </c>
      <c r="AS80">
        <v>79</v>
      </c>
      <c r="AT80">
        <v>1</v>
      </c>
      <c r="AU80">
        <v>79</v>
      </c>
      <c r="AV80">
        <v>8</v>
      </c>
      <c r="AW80" t="s">
        <v>715</v>
      </c>
      <c r="AX80" t="s">
        <v>158</v>
      </c>
      <c r="AY80" t="s">
        <v>501</v>
      </c>
      <c r="AZ80">
        <v>1737</v>
      </c>
      <c r="BA80" t="s">
        <v>716</v>
      </c>
      <c r="BB80">
        <v>1736</v>
      </c>
      <c r="BC80" t="s">
        <v>714</v>
      </c>
      <c r="BD80">
        <v>1950</v>
      </c>
      <c r="BE80">
        <v>1</v>
      </c>
      <c r="BF80">
        <v>570.33036330000004</v>
      </c>
    </row>
    <row r="81" spans="1:58" x14ac:dyDescent="0.2">
      <c r="A81">
        <v>80</v>
      </c>
      <c r="B81" t="s">
        <v>124</v>
      </c>
      <c r="C81">
        <v>0</v>
      </c>
      <c r="H81" t="s">
        <v>124</v>
      </c>
      <c r="I81" t="s">
        <v>45</v>
      </c>
      <c r="Q81" t="s">
        <v>124</v>
      </c>
      <c r="R81">
        <v>4.5464342059999998</v>
      </c>
      <c r="S81">
        <v>6</v>
      </c>
      <c r="T81">
        <v>130</v>
      </c>
      <c r="V81">
        <v>0</v>
      </c>
      <c r="W81">
        <v>0</v>
      </c>
      <c r="X81" t="s">
        <v>124</v>
      </c>
      <c r="Y81">
        <v>0</v>
      </c>
      <c r="Z81">
        <v>6</v>
      </c>
      <c r="AA81">
        <v>4.55</v>
      </c>
      <c r="AB81">
        <v>130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4.5464342059999998</v>
      </c>
      <c r="AR81">
        <v>0</v>
      </c>
      <c r="AS81">
        <v>80</v>
      </c>
      <c r="AT81">
        <v>1</v>
      </c>
      <c r="AU81">
        <v>80</v>
      </c>
      <c r="AV81">
        <v>8</v>
      </c>
      <c r="AW81" t="s">
        <v>717</v>
      </c>
      <c r="AX81" t="s">
        <v>158</v>
      </c>
      <c r="AY81" t="s">
        <v>501</v>
      </c>
      <c r="AZ81">
        <v>1049</v>
      </c>
      <c r="BA81" t="s">
        <v>718</v>
      </c>
      <c r="BB81">
        <v>1738</v>
      </c>
      <c r="BC81" t="s">
        <v>719</v>
      </c>
      <c r="BD81">
        <v>1950</v>
      </c>
      <c r="BE81">
        <v>1</v>
      </c>
      <c r="BF81">
        <v>385.31463860000002</v>
      </c>
    </row>
    <row r="82" spans="1:58" x14ac:dyDescent="0.2">
      <c r="A82">
        <v>81</v>
      </c>
      <c r="B82" t="s">
        <v>125</v>
      </c>
      <c r="C82">
        <v>0</v>
      </c>
      <c r="H82" t="s">
        <v>125</v>
      </c>
      <c r="I82" t="s">
        <v>45</v>
      </c>
      <c r="Q82" t="s">
        <v>125</v>
      </c>
      <c r="R82">
        <v>50.729892810000003</v>
      </c>
      <c r="S82">
        <v>6</v>
      </c>
      <c r="T82">
        <v>130</v>
      </c>
      <c r="V82">
        <v>0</v>
      </c>
      <c r="W82">
        <v>0</v>
      </c>
      <c r="X82" t="s">
        <v>125</v>
      </c>
      <c r="Y82">
        <v>0</v>
      </c>
      <c r="Z82">
        <v>6</v>
      </c>
      <c r="AA82">
        <v>50.73</v>
      </c>
      <c r="AB82">
        <v>130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50.729892810000003</v>
      </c>
      <c r="AR82">
        <v>0</v>
      </c>
      <c r="AS82">
        <v>81</v>
      </c>
      <c r="AT82">
        <v>1</v>
      </c>
      <c r="AU82">
        <v>81</v>
      </c>
      <c r="AV82">
        <v>10</v>
      </c>
      <c r="AW82" t="s">
        <v>720</v>
      </c>
      <c r="AX82" t="s">
        <v>158</v>
      </c>
      <c r="AY82" t="s">
        <v>501</v>
      </c>
      <c r="AZ82">
        <v>1049</v>
      </c>
      <c r="BA82" t="s">
        <v>718</v>
      </c>
      <c r="BB82">
        <v>1739</v>
      </c>
      <c r="BC82" t="s">
        <v>721</v>
      </c>
      <c r="BD82">
        <v>1950</v>
      </c>
      <c r="BE82">
        <v>0</v>
      </c>
      <c r="BF82">
        <v>1110.0217929999999</v>
      </c>
    </row>
    <row r="83" spans="1:58" x14ac:dyDescent="0.2">
      <c r="A83">
        <v>82</v>
      </c>
      <c r="B83" t="s">
        <v>126</v>
      </c>
      <c r="C83">
        <v>0</v>
      </c>
      <c r="H83" t="s">
        <v>126</v>
      </c>
      <c r="I83" t="s">
        <v>45</v>
      </c>
      <c r="Q83" t="s">
        <v>126</v>
      </c>
      <c r="R83">
        <v>66.043334689999995</v>
      </c>
      <c r="S83">
        <v>6</v>
      </c>
      <c r="T83">
        <v>130</v>
      </c>
      <c r="V83">
        <v>0</v>
      </c>
      <c r="W83">
        <v>0</v>
      </c>
      <c r="X83" t="s">
        <v>126</v>
      </c>
      <c r="Y83">
        <v>0</v>
      </c>
      <c r="Z83">
        <v>6</v>
      </c>
      <c r="AA83">
        <v>66.040000000000006</v>
      </c>
      <c r="AB83">
        <v>130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66.043334689999995</v>
      </c>
      <c r="AR83">
        <v>0</v>
      </c>
      <c r="AS83">
        <v>82</v>
      </c>
      <c r="AT83">
        <v>1</v>
      </c>
      <c r="AU83">
        <v>82</v>
      </c>
      <c r="AV83">
        <v>10</v>
      </c>
      <c r="AW83" t="s">
        <v>722</v>
      </c>
      <c r="AX83" t="s">
        <v>158</v>
      </c>
      <c r="AY83" t="s">
        <v>501</v>
      </c>
      <c r="AZ83">
        <v>1740</v>
      </c>
      <c r="BA83" t="s">
        <v>723</v>
      </c>
      <c r="BB83">
        <v>1049</v>
      </c>
      <c r="BC83" t="s">
        <v>718</v>
      </c>
      <c r="BD83">
        <v>1950</v>
      </c>
      <c r="BE83">
        <v>1</v>
      </c>
      <c r="BF83">
        <v>757.82909540000003</v>
      </c>
    </row>
    <row r="84" spans="1:58" x14ac:dyDescent="0.2">
      <c r="A84">
        <v>83</v>
      </c>
      <c r="B84" t="s">
        <v>127</v>
      </c>
      <c r="C84">
        <v>0</v>
      </c>
      <c r="H84" t="s">
        <v>127</v>
      </c>
      <c r="I84" t="s">
        <v>45</v>
      </c>
      <c r="Q84" t="s">
        <v>127</v>
      </c>
      <c r="R84">
        <v>325.09902069999998</v>
      </c>
      <c r="S84">
        <v>6</v>
      </c>
      <c r="T84">
        <v>130</v>
      </c>
      <c r="V84">
        <v>0</v>
      </c>
      <c r="W84">
        <v>0</v>
      </c>
      <c r="X84" t="s">
        <v>127</v>
      </c>
      <c r="Y84">
        <v>0</v>
      </c>
      <c r="Z84">
        <v>6</v>
      </c>
      <c r="AA84">
        <v>325.10000000000002</v>
      </c>
      <c r="AB84">
        <v>130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325.09902069999998</v>
      </c>
      <c r="AR84">
        <v>0</v>
      </c>
      <c r="AS84">
        <v>83</v>
      </c>
      <c r="AT84">
        <v>1</v>
      </c>
      <c r="AU84">
        <v>83</v>
      </c>
      <c r="AV84">
        <v>10</v>
      </c>
      <c r="AW84" t="s">
        <v>724</v>
      </c>
      <c r="AX84" t="s">
        <v>158</v>
      </c>
      <c r="AY84" t="s">
        <v>501</v>
      </c>
      <c r="AZ84">
        <v>1742</v>
      </c>
      <c r="BA84" t="s">
        <v>725</v>
      </c>
      <c r="BB84">
        <v>1741</v>
      </c>
      <c r="BC84" t="s">
        <v>726</v>
      </c>
      <c r="BD84">
        <v>1950</v>
      </c>
      <c r="BE84">
        <v>1</v>
      </c>
      <c r="BF84">
        <v>301.4869655</v>
      </c>
    </row>
    <row r="85" spans="1:58" x14ac:dyDescent="0.2">
      <c r="A85">
        <v>84</v>
      </c>
      <c r="B85" t="s">
        <v>128</v>
      </c>
      <c r="C85">
        <v>0</v>
      </c>
      <c r="H85" t="s">
        <v>128</v>
      </c>
      <c r="I85" t="s">
        <v>45</v>
      </c>
      <c r="Q85" t="s">
        <v>128</v>
      </c>
      <c r="R85">
        <v>473.27614069999998</v>
      </c>
      <c r="S85">
        <v>6</v>
      </c>
      <c r="T85">
        <v>130</v>
      </c>
      <c r="V85">
        <v>0</v>
      </c>
      <c r="W85">
        <v>0</v>
      </c>
      <c r="X85" t="s">
        <v>128</v>
      </c>
      <c r="Y85">
        <v>0</v>
      </c>
      <c r="Z85">
        <v>6</v>
      </c>
      <c r="AA85">
        <v>473.28</v>
      </c>
      <c r="AB85">
        <v>130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473.27614069999998</v>
      </c>
      <c r="AR85">
        <v>0</v>
      </c>
      <c r="AS85">
        <v>84</v>
      </c>
      <c r="AT85">
        <v>1</v>
      </c>
      <c r="AU85">
        <v>84</v>
      </c>
      <c r="AV85">
        <v>6</v>
      </c>
      <c r="AW85" t="s">
        <v>727</v>
      </c>
      <c r="AX85" t="s">
        <v>45</v>
      </c>
      <c r="AY85" t="s">
        <v>501</v>
      </c>
      <c r="AZ85">
        <v>1588</v>
      </c>
      <c r="BA85" t="s">
        <v>728</v>
      </c>
      <c r="BB85">
        <v>1742</v>
      </c>
      <c r="BC85" t="s">
        <v>725</v>
      </c>
      <c r="BD85">
        <v>1980</v>
      </c>
      <c r="BE85">
        <v>0</v>
      </c>
      <c r="BF85">
        <v>543.72456239999997</v>
      </c>
    </row>
    <row r="86" spans="1:58" x14ac:dyDescent="0.2">
      <c r="A86">
        <v>85</v>
      </c>
      <c r="B86" t="s">
        <v>129</v>
      </c>
      <c r="C86">
        <v>0</v>
      </c>
      <c r="H86" t="s">
        <v>129</v>
      </c>
      <c r="I86" t="s">
        <v>45</v>
      </c>
      <c r="Q86" t="s">
        <v>129</v>
      </c>
      <c r="R86">
        <v>34.702424139999998</v>
      </c>
      <c r="S86">
        <v>6</v>
      </c>
      <c r="T86">
        <v>130</v>
      </c>
      <c r="V86">
        <v>0</v>
      </c>
      <c r="W86">
        <v>0</v>
      </c>
      <c r="X86" t="s">
        <v>129</v>
      </c>
      <c r="Y86">
        <v>0</v>
      </c>
      <c r="Z86">
        <v>6</v>
      </c>
      <c r="AA86">
        <v>34.700000000000003</v>
      </c>
      <c r="AB86">
        <v>130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34.702424139999998</v>
      </c>
      <c r="AR86">
        <v>0</v>
      </c>
      <c r="AS86">
        <v>85</v>
      </c>
      <c r="AT86">
        <v>1</v>
      </c>
      <c r="AU86">
        <v>85</v>
      </c>
      <c r="AV86">
        <v>8</v>
      </c>
      <c r="AW86" t="s">
        <v>729</v>
      </c>
      <c r="AX86" t="s">
        <v>146</v>
      </c>
      <c r="AY86" t="s">
        <v>501</v>
      </c>
      <c r="AZ86">
        <v>1743</v>
      </c>
      <c r="BA86" t="s">
        <v>730</v>
      </c>
      <c r="BB86">
        <v>980</v>
      </c>
      <c r="BC86" t="s">
        <v>731</v>
      </c>
      <c r="BD86">
        <v>1980</v>
      </c>
      <c r="BE86">
        <v>1</v>
      </c>
      <c r="BF86">
        <v>606.32458650000001</v>
      </c>
    </row>
    <row r="87" spans="1:58" x14ac:dyDescent="0.2">
      <c r="A87">
        <v>86</v>
      </c>
      <c r="B87" t="s">
        <v>130</v>
      </c>
      <c r="C87">
        <v>0</v>
      </c>
      <c r="H87" t="s">
        <v>130</v>
      </c>
      <c r="I87" t="s">
        <v>45</v>
      </c>
      <c r="Q87" t="s">
        <v>130</v>
      </c>
      <c r="R87">
        <v>43.35433828</v>
      </c>
      <c r="S87">
        <v>6</v>
      </c>
      <c r="T87">
        <v>130</v>
      </c>
      <c r="V87">
        <v>0</v>
      </c>
      <c r="W87">
        <v>0</v>
      </c>
      <c r="X87" t="s">
        <v>130</v>
      </c>
      <c r="Y87">
        <v>0</v>
      </c>
      <c r="Z87">
        <v>6</v>
      </c>
      <c r="AA87">
        <v>43.35</v>
      </c>
      <c r="AB87">
        <v>130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43.35433828</v>
      </c>
      <c r="AR87">
        <v>0</v>
      </c>
      <c r="AS87">
        <v>86</v>
      </c>
      <c r="AT87">
        <v>1</v>
      </c>
      <c r="AU87">
        <v>86</v>
      </c>
      <c r="AV87">
        <v>6</v>
      </c>
      <c r="AW87" t="s">
        <v>732</v>
      </c>
      <c r="AX87" t="s">
        <v>45</v>
      </c>
      <c r="AY87" t="s">
        <v>501</v>
      </c>
      <c r="AZ87">
        <v>834</v>
      </c>
      <c r="BA87" t="s">
        <v>733</v>
      </c>
      <c r="BB87">
        <v>835</v>
      </c>
      <c r="BC87" t="s">
        <v>734</v>
      </c>
      <c r="BD87">
        <v>1980</v>
      </c>
      <c r="BE87">
        <v>0</v>
      </c>
      <c r="BF87">
        <v>69.182302109999995</v>
      </c>
    </row>
    <row r="88" spans="1:58" x14ac:dyDescent="0.2">
      <c r="A88">
        <v>87</v>
      </c>
      <c r="B88" t="s">
        <v>131</v>
      </c>
      <c r="C88">
        <v>0</v>
      </c>
      <c r="H88" t="s">
        <v>131</v>
      </c>
      <c r="I88" t="s">
        <v>45</v>
      </c>
      <c r="Q88" t="s">
        <v>131</v>
      </c>
      <c r="R88">
        <v>27.104554490000002</v>
      </c>
      <c r="S88">
        <v>6</v>
      </c>
      <c r="T88">
        <v>130</v>
      </c>
      <c r="V88">
        <v>0</v>
      </c>
      <c r="W88">
        <v>0</v>
      </c>
      <c r="X88" t="s">
        <v>131</v>
      </c>
      <c r="Y88">
        <v>0</v>
      </c>
      <c r="Z88">
        <v>6</v>
      </c>
      <c r="AA88">
        <v>27.1</v>
      </c>
      <c r="AB88">
        <v>130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27.104554490000002</v>
      </c>
      <c r="AR88">
        <v>0</v>
      </c>
      <c r="AS88">
        <v>87</v>
      </c>
      <c r="AT88">
        <v>1</v>
      </c>
      <c r="AU88">
        <v>87</v>
      </c>
      <c r="AV88">
        <v>6</v>
      </c>
      <c r="AW88" t="s">
        <v>735</v>
      </c>
      <c r="AX88" t="s">
        <v>45</v>
      </c>
      <c r="AY88" t="s">
        <v>501</v>
      </c>
      <c r="AZ88">
        <v>1591</v>
      </c>
      <c r="BA88" t="s">
        <v>736</v>
      </c>
      <c r="BB88">
        <v>1744</v>
      </c>
      <c r="BC88" t="s">
        <v>737</v>
      </c>
      <c r="BD88">
        <v>1980</v>
      </c>
      <c r="BE88">
        <v>0</v>
      </c>
      <c r="BF88">
        <v>27.10431839</v>
      </c>
    </row>
    <row r="89" spans="1:58" x14ac:dyDescent="0.2">
      <c r="A89">
        <v>88</v>
      </c>
      <c r="B89" t="s">
        <v>132</v>
      </c>
      <c r="C89">
        <v>0</v>
      </c>
      <c r="H89" t="s">
        <v>132</v>
      </c>
      <c r="I89" t="s">
        <v>45</v>
      </c>
      <c r="Q89" t="s">
        <v>132</v>
      </c>
      <c r="R89">
        <v>35.897948990000003</v>
      </c>
      <c r="S89">
        <v>6</v>
      </c>
      <c r="T89">
        <v>130</v>
      </c>
      <c r="V89">
        <v>0</v>
      </c>
      <c r="W89">
        <v>0</v>
      </c>
      <c r="X89" t="s">
        <v>132</v>
      </c>
      <c r="Y89">
        <v>0</v>
      </c>
      <c r="Z89">
        <v>6</v>
      </c>
      <c r="AA89">
        <v>35.9</v>
      </c>
      <c r="AB89">
        <v>130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35.897948990000003</v>
      </c>
      <c r="AR89">
        <v>0</v>
      </c>
      <c r="AS89">
        <v>88</v>
      </c>
      <c r="AT89">
        <v>1</v>
      </c>
      <c r="AU89">
        <v>88</v>
      </c>
      <c r="AV89">
        <v>6</v>
      </c>
      <c r="AW89" t="s">
        <v>738</v>
      </c>
      <c r="AX89" t="s">
        <v>45</v>
      </c>
      <c r="AY89" t="s">
        <v>501</v>
      </c>
      <c r="AZ89">
        <v>1745</v>
      </c>
      <c r="BA89" t="s">
        <v>739</v>
      </c>
      <c r="BB89">
        <v>934</v>
      </c>
      <c r="BC89" t="s">
        <v>740</v>
      </c>
      <c r="BD89">
        <v>1980</v>
      </c>
      <c r="BE89">
        <v>0</v>
      </c>
      <c r="BF89">
        <v>164.8088018</v>
      </c>
    </row>
    <row r="90" spans="1:58" x14ac:dyDescent="0.2">
      <c r="A90">
        <v>89</v>
      </c>
      <c r="B90" t="s">
        <v>133</v>
      </c>
      <c r="C90">
        <v>0</v>
      </c>
      <c r="H90" t="s">
        <v>133</v>
      </c>
      <c r="I90" t="s">
        <v>45</v>
      </c>
      <c r="Q90" t="s">
        <v>133</v>
      </c>
      <c r="R90">
        <v>325.8193617</v>
      </c>
      <c r="S90">
        <v>6</v>
      </c>
      <c r="T90">
        <v>130</v>
      </c>
      <c r="V90">
        <v>0</v>
      </c>
      <c r="W90">
        <v>0</v>
      </c>
      <c r="X90" t="s">
        <v>133</v>
      </c>
      <c r="Y90">
        <v>0</v>
      </c>
      <c r="Z90">
        <v>6</v>
      </c>
      <c r="AA90">
        <v>325.82</v>
      </c>
      <c r="AB90">
        <v>130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325.8193617</v>
      </c>
      <c r="AR90">
        <v>0</v>
      </c>
      <c r="AS90">
        <v>89</v>
      </c>
      <c r="AT90">
        <v>1</v>
      </c>
      <c r="AU90">
        <v>89</v>
      </c>
      <c r="AV90">
        <v>6</v>
      </c>
      <c r="AW90" t="s">
        <v>741</v>
      </c>
      <c r="AX90" t="s">
        <v>45</v>
      </c>
      <c r="AY90" t="s">
        <v>501</v>
      </c>
      <c r="AZ90">
        <v>1593</v>
      </c>
      <c r="BA90" t="s">
        <v>742</v>
      </c>
      <c r="BB90">
        <v>1746</v>
      </c>
      <c r="BC90" t="s">
        <v>743</v>
      </c>
      <c r="BD90">
        <v>1980</v>
      </c>
      <c r="BE90">
        <v>0</v>
      </c>
      <c r="BF90">
        <v>538.53208389999998</v>
      </c>
    </row>
    <row r="91" spans="1:58" x14ac:dyDescent="0.2">
      <c r="A91">
        <v>90</v>
      </c>
      <c r="B91" t="s">
        <v>134</v>
      </c>
      <c r="C91">
        <v>0</v>
      </c>
      <c r="H91" t="s">
        <v>134</v>
      </c>
      <c r="I91" t="s">
        <v>45</v>
      </c>
      <c r="Q91" t="s">
        <v>134</v>
      </c>
      <c r="R91">
        <v>41.488046539999999</v>
      </c>
      <c r="S91">
        <v>6</v>
      </c>
      <c r="T91">
        <v>130</v>
      </c>
      <c r="V91">
        <v>0</v>
      </c>
      <c r="W91">
        <v>0</v>
      </c>
      <c r="X91" t="s">
        <v>134</v>
      </c>
      <c r="Y91">
        <v>0</v>
      </c>
      <c r="Z91">
        <v>6</v>
      </c>
      <c r="AA91">
        <v>41.49</v>
      </c>
      <c r="AB91">
        <v>130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41.488046539999999</v>
      </c>
      <c r="AR91">
        <v>0</v>
      </c>
      <c r="AS91">
        <v>90</v>
      </c>
      <c r="AT91">
        <v>1</v>
      </c>
      <c r="AU91">
        <v>90</v>
      </c>
      <c r="AV91">
        <v>6</v>
      </c>
      <c r="AW91" t="s">
        <v>744</v>
      </c>
      <c r="AX91" t="s">
        <v>45</v>
      </c>
      <c r="AY91" t="s">
        <v>501</v>
      </c>
      <c r="AZ91">
        <v>1747</v>
      </c>
      <c r="BA91" t="s">
        <v>745</v>
      </c>
      <c r="BB91">
        <v>1748</v>
      </c>
      <c r="BC91" t="s">
        <v>746</v>
      </c>
      <c r="BD91">
        <v>1980</v>
      </c>
      <c r="BE91">
        <v>1</v>
      </c>
      <c r="BF91">
        <v>836.70991509999999</v>
      </c>
    </row>
    <row r="92" spans="1:58" x14ac:dyDescent="0.2">
      <c r="A92">
        <v>91</v>
      </c>
      <c r="B92" t="s">
        <v>135</v>
      </c>
      <c r="C92">
        <v>0</v>
      </c>
      <c r="H92" t="s">
        <v>135</v>
      </c>
      <c r="I92" t="s">
        <v>45</v>
      </c>
      <c r="Q92" t="s">
        <v>135</v>
      </c>
      <c r="R92">
        <v>40.524243179999999</v>
      </c>
      <c r="S92">
        <v>6</v>
      </c>
      <c r="T92">
        <v>130</v>
      </c>
      <c r="V92">
        <v>0</v>
      </c>
      <c r="W92">
        <v>0</v>
      </c>
      <c r="X92" t="s">
        <v>135</v>
      </c>
      <c r="Y92">
        <v>0</v>
      </c>
      <c r="Z92">
        <v>6</v>
      </c>
      <c r="AA92">
        <v>40.520000000000003</v>
      </c>
      <c r="AB92">
        <v>130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40.524243179999999</v>
      </c>
      <c r="AR92">
        <v>0</v>
      </c>
      <c r="AS92">
        <v>91</v>
      </c>
      <c r="AT92">
        <v>1</v>
      </c>
      <c r="AU92">
        <v>91</v>
      </c>
      <c r="AV92">
        <v>6</v>
      </c>
      <c r="AW92" t="s">
        <v>744</v>
      </c>
      <c r="AX92" t="s">
        <v>45</v>
      </c>
      <c r="AY92" t="s">
        <v>501</v>
      </c>
      <c r="AZ92">
        <v>1747</v>
      </c>
      <c r="BA92" t="s">
        <v>745</v>
      </c>
      <c r="BB92">
        <v>1748</v>
      </c>
      <c r="BC92" t="s">
        <v>746</v>
      </c>
      <c r="BD92">
        <v>1980</v>
      </c>
      <c r="BE92">
        <v>1</v>
      </c>
      <c r="BF92">
        <v>836.70991509999999</v>
      </c>
    </row>
    <row r="93" spans="1:58" x14ac:dyDescent="0.2">
      <c r="A93">
        <v>92</v>
      </c>
      <c r="B93" t="s">
        <v>136</v>
      </c>
      <c r="C93">
        <v>0</v>
      </c>
      <c r="H93" t="s">
        <v>136</v>
      </c>
      <c r="I93" t="s">
        <v>45</v>
      </c>
      <c r="Q93" t="s">
        <v>136</v>
      </c>
      <c r="R93">
        <v>25.763198110000001</v>
      </c>
      <c r="S93">
        <v>6</v>
      </c>
      <c r="T93">
        <v>130</v>
      </c>
      <c r="V93">
        <v>0</v>
      </c>
      <c r="W93">
        <v>0</v>
      </c>
      <c r="X93" t="s">
        <v>136</v>
      </c>
      <c r="Y93">
        <v>0</v>
      </c>
      <c r="Z93">
        <v>6</v>
      </c>
      <c r="AA93">
        <v>25.76</v>
      </c>
      <c r="AB93">
        <v>130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25.763198110000001</v>
      </c>
      <c r="AR93">
        <v>0</v>
      </c>
      <c r="AS93">
        <v>92</v>
      </c>
      <c r="AT93">
        <v>1</v>
      </c>
      <c r="AU93">
        <v>92</v>
      </c>
      <c r="AV93">
        <v>6</v>
      </c>
      <c r="AW93" t="s">
        <v>747</v>
      </c>
      <c r="AX93" t="s">
        <v>45</v>
      </c>
      <c r="AY93" t="s">
        <v>501</v>
      </c>
      <c r="AZ93">
        <v>1596</v>
      </c>
      <c r="BA93" t="s">
        <v>748</v>
      </c>
      <c r="BB93">
        <v>1749</v>
      </c>
      <c r="BC93" t="s">
        <v>749</v>
      </c>
      <c r="BD93">
        <v>1980</v>
      </c>
      <c r="BE93">
        <v>0</v>
      </c>
      <c r="BF93">
        <v>25.76315533</v>
      </c>
    </row>
    <row r="94" spans="1:58" x14ac:dyDescent="0.2">
      <c r="A94">
        <v>93</v>
      </c>
      <c r="B94" t="s">
        <v>137</v>
      </c>
      <c r="C94">
        <v>0</v>
      </c>
      <c r="H94" t="s">
        <v>137</v>
      </c>
      <c r="I94" t="s">
        <v>45</v>
      </c>
      <c r="Q94" t="s">
        <v>137</v>
      </c>
      <c r="R94">
        <v>22.387833350000001</v>
      </c>
      <c r="S94">
        <v>6</v>
      </c>
      <c r="T94">
        <v>130</v>
      </c>
      <c r="V94">
        <v>0</v>
      </c>
      <c r="W94">
        <v>0</v>
      </c>
      <c r="X94" t="s">
        <v>137</v>
      </c>
      <c r="Y94">
        <v>0</v>
      </c>
      <c r="Z94">
        <v>6</v>
      </c>
      <c r="AA94">
        <v>22.39</v>
      </c>
      <c r="AB94">
        <v>130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22.387833350000001</v>
      </c>
      <c r="AR94">
        <v>0</v>
      </c>
      <c r="AS94">
        <v>93</v>
      </c>
      <c r="AT94">
        <v>1</v>
      </c>
      <c r="AU94">
        <v>93</v>
      </c>
      <c r="AV94">
        <v>6</v>
      </c>
      <c r="AW94" t="s">
        <v>750</v>
      </c>
      <c r="AX94" t="s">
        <v>45</v>
      </c>
      <c r="AY94" t="s">
        <v>501</v>
      </c>
      <c r="AZ94">
        <v>1750</v>
      </c>
      <c r="BA94" t="s">
        <v>751</v>
      </c>
      <c r="BB94">
        <v>1749</v>
      </c>
      <c r="BC94" t="s">
        <v>749</v>
      </c>
      <c r="BD94">
        <v>1980</v>
      </c>
      <c r="BE94">
        <v>1</v>
      </c>
      <c r="BF94">
        <v>606.30066629999999</v>
      </c>
    </row>
    <row r="95" spans="1:58" x14ac:dyDescent="0.2">
      <c r="A95">
        <v>94</v>
      </c>
      <c r="B95" t="s">
        <v>138</v>
      </c>
      <c r="C95">
        <v>0</v>
      </c>
      <c r="H95" t="s">
        <v>138</v>
      </c>
      <c r="I95" t="s">
        <v>45</v>
      </c>
      <c r="Q95" t="s">
        <v>138</v>
      </c>
      <c r="R95">
        <v>81.201526569999999</v>
      </c>
      <c r="S95">
        <v>6</v>
      </c>
      <c r="T95">
        <v>130</v>
      </c>
      <c r="V95">
        <v>0</v>
      </c>
      <c r="W95">
        <v>0</v>
      </c>
      <c r="X95" t="s">
        <v>138</v>
      </c>
      <c r="Y95">
        <v>0</v>
      </c>
      <c r="Z95">
        <v>6</v>
      </c>
      <c r="AA95">
        <v>81.2</v>
      </c>
      <c r="AB95">
        <v>130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81.201526569999999</v>
      </c>
      <c r="AR95">
        <v>0</v>
      </c>
      <c r="AS95">
        <v>94</v>
      </c>
      <c r="AT95">
        <v>1</v>
      </c>
      <c r="AU95">
        <v>94</v>
      </c>
      <c r="AV95">
        <v>6</v>
      </c>
      <c r="AW95" t="s">
        <v>752</v>
      </c>
      <c r="AX95" t="s">
        <v>45</v>
      </c>
      <c r="AY95" t="s">
        <v>501</v>
      </c>
      <c r="AZ95">
        <v>1751</v>
      </c>
      <c r="BA95" t="s">
        <v>753</v>
      </c>
      <c r="BB95">
        <v>1058</v>
      </c>
      <c r="BC95" t="s">
        <v>754</v>
      </c>
      <c r="BD95">
        <v>1980</v>
      </c>
      <c r="BE95">
        <v>1</v>
      </c>
      <c r="BF95">
        <v>295.33031119999998</v>
      </c>
    </row>
    <row r="96" spans="1:58" x14ac:dyDescent="0.2">
      <c r="A96">
        <v>95</v>
      </c>
      <c r="B96" t="s">
        <v>139</v>
      </c>
      <c r="C96">
        <v>0</v>
      </c>
      <c r="H96" t="s">
        <v>139</v>
      </c>
      <c r="I96" t="s">
        <v>45</v>
      </c>
      <c r="Q96" t="s">
        <v>139</v>
      </c>
      <c r="R96">
        <v>90.288957490000001</v>
      </c>
      <c r="S96">
        <v>6</v>
      </c>
      <c r="T96">
        <v>130</v>
      </c>
      <c r="V96">
        <v>0</v>
      </c>
      <c r="W96">
        <v>0</v>
      </c>
      <c r="X96" t="s">
        <v>139</v>
      </c>
      <c r="Y96">
        <v>0</v>
      </c>
      <c r="Z96">
        <v>6</v>
      </c>
      <c r="AA96">
        <v>90.29</v>
      </c>
      <c r="AB96">
        <v>130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90.288957490000001</v>
      </c>
      <c r="AR96">
        <v>0</v>
      </c>
      <c r="AS96">
        <v>95</v>
      </c>
      <c r="AT96">
        <v>1</v>
      </c>
      <c r="AU96">
        <v>95</v>
      </c>
      <c r="AV96">
        <v>6</v>
      </c>
      <c r="AW96" t="s">
        <v>755</v>
      </c>
      <c r="AX96" t="s">
        <v>45</v>
      </c>
      <c r="AY96" t="s">
        <v>501</v>
      </c>
      <c r="AZ96">
        <v>938</v>
      </c>
      <c r="BA96" t="s">
        <v>756</v>
      </c>
      <c r="BB96">
        <v>1752</v>
      </c>
      <c r="BC96" t="s">
        <v>757</v>
      </c>
      <c r="BD96">
        <v>1980</v>
      </c>
      <c r="BE96">
        <v>1</v>
      </c>
      <c r="BF96">
        <v>2366.1775010000001</v>
      </c>
    </row>
    <row r="97" spans="1:58" x14ac:dyDescent="0.2">
      <c r="A97">
        <v>96</v>
      </c>
      <c r="B97" t="s">
        <v>140</v>
      </c>
      <c r="C97">
        <v>0</v>
      </c>
      <c r="H97" t="s">
        <v>140</v>
      </c>
      <c r="I97" t="s">
        <v>141</v>
      </c>
      <c r="Q97" t="s">
        <v>140</v>
      </c>
      <c r="R97">
        <v>71.082154389999999</v>
      </c>
      <c r="S97">
        <v>2</v>
      </c>
      <c r="T97">
        <v>130</v>
      </c>
      <c r="V97">
        <v>0</v>
      </c>
      <c r="W97">
        <v>0</v>
      </c>
      <c r="X97" t="s">
        <v>140</v>
      </c>
      <c r="Y97">
        <v>0</v>
      </c>
      <c r="Z97">
        <v>2</v>
      </c>
      <c r="AA97">
        <v>71.08</v>
      </c>
      <c r="AB97">
        <v>130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71.082154389999999</v>
      </c>
      <c r="AR97">
        <v>0</v>
      </c>
      <c r="AS97">
        <v>96</v>
      </c>
      <c r="AT97">
        <v>1</v>
      </c>
      <c r="AU97">
        <v>96</v>
      </c>
      <c r="AV97">
        <v>2</v>
      </c>
      <c r="AW97" t="s">
        <v>758</v>
      </c>
      <c r="AX97" t="s">
        <v>141</v>
      </c>
      <c r="AY97" t="s">
        <v>501</v>
      </c>
      <c r="AZ97">
        <v>893</v>
      </c>
      <c r="BA97" t="s">
        <v>759</v>
      </c>
      <c r="BB97">
        <v>1197</v>
      </c>
      <c r="BC97" t="s">
        <v>760</v>
      </c>
      <c r="BD97">
        <v>1950</v>
      </c>
      <c r="BE97">
        <v>0</v>
      </c>
      <c r="BF97">
        <v>1260.7665440000001</v>
      </c>
    </row>
    <row r="98" spans="1:58" x14ac:dyDescent="0.2">
      <c r="A98">
        <v>97</v>
      </c>
      <c r="B98" t="s">
        <v>142</v>
      </c>
      <c r="C98">
        <v>0</v>
      </c>
      <c r="H98" t="s">
        <v>142</v>
      </c>
      <c r="I98" t="s">
        <v>141</v>
      </c>
      <c r="Q98" t="s">
        <v>142</v>
      </c>
      <c r="R98">
        <v>1160.569745</v>
      </c>
      <c r="S98">
        <v>2</v>
      </c>
      <c r="T98">
        <v>130</v>
      </c>
      <c r="V98">
        <v>0</v>
      </c>
      <c r="W98">
        <v>0</v>
      </c>
      <c r="X98" t="s">
        <v>142</v>
      </c>
      <c r="Y98">
        <v>0</v>
      </c>
      <c r="Z98">
        <v>2</v>
      </c>
      <c r="AA98">
        <v>1160.57</v>
      </c>
      <c r="AB98">
        <v>130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1160.569745</v>
      </c>
      <c r="AR98">
        <v>0</v>
      </c>
      <c r="AS98">
        <v>97</v>
      </c>
      <c r="AT98">
        <v>1</v>
      </c>
      <c r="AU98">
        <v>97</v>
      </c>
      <c r="AV98">
        <v>2</v>
      </c>
      <c r="AW98" t="s">
        <v>758</v>
      </c>
      <c r="AX98" t="s">
        <v>141</v>
      </c>
      <c r="AY98" t="s">
        <v>501</v>
      </c>
      <c r="AZ98">
        <v>893</v>
      </c>
      <c r="BA98" t="s">
        <v>759</v>
      </c>
      <c r="BB98">
        <v>1197</v>
      </c>
      <c r="BC98" t="s">
        <v>760</v>
      </c>
      <c r="BD98">
        <v>1950</v>
      </c>
      <c r="BE98">
        <v>0</v>
      </c>
      <c r="BF98">
        <v>1260.7665440000001</v>
      </c>
    </row>
    <row r="99" spans="1:58" x14ac:dyDescent="0.2">
      <c r="A99">
        <v>98</v>
      </c>
      <c r="B99" t="s">
        <v>143</v>
      </c>
      <c r="C99">
        <v>0</v>
      </c>
      <c r="H99" t="s">
        <v>143</v>
      </c>
      <c r="I99" t="s">
        <v>141</v>
      </c>
      <c r="Q99" t="s">
        <v>143</v>
      </c>
      <c r="R99">
        <v>29.114712879999999</v>
      </c>
      <c r="S99">
        <v>2</v>
      </c>
      <c r="T99">
        <v>130</v>
      </c>
      <c r="V99">
        <v>0</v>
      </c>
      <c r="W99">
        <v>0</v>
      </c>
      <c r="X99" t="s">
        <v>143</v>
      </c>
      <c r="Y99">
        <v>0</v>
      </c>
      <c r="Z99">
        <v>2</v>
      </c>
      <c r="AA99">
        <v>29.11</v>
      </c>
      <c r="AB99">
        <v>130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29.114712879999999</v>
      </c>
      <c r="AR99">
        <v>0</v>
      </c>
      <c r="AS99">
        <v>98</v>
      </c>
      <c r="AT99">
        <v>1</v>
      </c>
      <c r="AU99">
        <v>98</v>
      </c>
      <c r="AV99">
        <v>2</v>
      </c>
      <c r="AW99" t="s">
        <v>758</v>
      </c>
      <c r="AX99" t="s">
        <v>141</v>
      </c>
      <c r="AY99" t="s">
        <v>501</v>
      </c>
      <c r="AZ99">
        <v>893</v>
      </c>
      <c r="BA99" t="s">
        <v>759</v>
      </c>
      <c r="BB99">
        <v>1197</v>
      </c>
      <c r="BC99" t="s">
        <v>760</v>
      </c>
      <c r="BD99">
        <v>1950</v>
      </c>
      <c r="BE99">
        <v>0</v>
      </c>
      <c r="BF99">
        <v>1260.7665440000001</v>
      </c>
    </row>
    <row r="100" spans="1:58" x14ac:dyDescent="0.2">
      <c r="A100">
        <v>99</v>
      </c>
      <c r="B100" t="s">
        <v>144</v>
      </c>
      <c r="C100">
        <v>0</v>
      </c>
      <c r="H100" t="s">
        <v>144</v>
      </c>
      <c r="I100" t="s">
        <v>45</v>
      </c>
      <c r="Q100" t="s">
        <v>144</v>
      </c>
      <c r="R100">
        <v>166.40582090000001</v>
      </c>
      <c r="S100">
        <v>6</v>
      </c>
      <c r="T100">
        <v>130</v>
      </c>
      <c r="V100">
        <v>0</v>
      </c>
      <c r="W100">
        <v>0</v>
      </c>
      <c r="X100" t="s">
        <v>144</v>
      </c>
      <c r="Y100">
        <v>1</v>
      </c>
      <c r="Z100">
        <v>6</v>
      </c>
      <c r="AA100">
        <v>166.41</v>
      </c>
      <c r="AB100">
        <v>130</v>
      </c>
      <c r="AC100">
        <v>1.39</v>
      </c>
      <c r="AD100">
        <v>0.02</v>
      </c>
      <c r="AE100">
        <v>0</v>
      </c>
      <c r="AF100">
        <v>0</v>
      </c>
      <c r="AG100">
        <v>1</v>
      </c>
      <c r="AH100">
        <v>1.39</v>
      </c>
      <c r="AI100">
        <v>1.39</v>
      </c>
      <c r="AJ100">
        <v>1.39</v>
      </c>
      <c r="AK100">
        <v>0.02</v>
      </c>
      <c r="AL100">
        <v>0.02</v>
      </c>
      <c r="AM100">
        <v>0.02</v>
      </c>
      <c r="AN100">
        <v>0</v>
      </c>
      <c r="AO100">
        <v>0</v>
      </c>
      <c r="AP100">
        <v>0</v>
      </c>
      <c r="AQ100">
        <v>166.40582090000001</v>
      </c>
      <c r="AR100">
        <v>0</v>
      </c>
      <c r="AS100">
        <v>99</v>
      </c>
      <c r="AT100">
        <v>1</v>
      </c>
      <c r="AU100">
        <v>99</v>
      </c>
      <c r="AV100">
        <v>6</v>
      </c>
      <c r="AW100" t="s">
        <v>761</v>
      </c>
      <c r="AX100" t="s">
        <v>45</v>
      </c>
      <c r="AY100" t="s">
        <v>501</v>
      </c>
      <c r="AZ100">
        <v>1205</v>
      </c>
      <c r="BA100" t="s">
        <v>762</v>
      </c>
      <c r="BB100">
        <v>1209</v>
      </c>
      <c r="BC100" t="s">
        <v>763</v>
      </c>
      <c r="BD100">
        <v>1950</v>
      </c>
      <c r="BE100">
        <v>0</v>
      </c>
      <c r="BF100">
        <v>166.40578170000001</v>
      </c>
    </row>
    <row r="101" spans="1:58" x14ac:dyDescent="0.2">
      <c r="A101">
        <v>100</v>
      </c>
      <c r="B101" t="s">
        <v>145</v>
      </c>
      <c r="C101">
        <v>0</v>
      </c>
      <c r="H101" t="s">
        <v>145</v>
      </c>
      <c r="I101" t="s">
        <v>146</v>
      </c>
      <c r="Q101" t="s">
        <v>145</v>
      </c>
      <c r="R101">
        <v>1773.483782</v>
      </c>
      <c r="S101">
        <v>12</v>
      </c>
      <c r="T101">
        <v>130</v>
      </c>
      <c r="V101">
        <v>0</v>
      </c>
      <c r="W101">
        <v>0</v>
      </c>
      <c r="X101" t="s">
        <v>145</v>
      </c>
      <c r="Y101">
        <v>-1</v>
      </c>
      <c r="Z101">
        <v>12</v>
      </c>
      <c r="AA101">
        <v>1773.48</v>
      </c>
      <c r="AB101">
        <v>130</v>
      </c>
      <c r="AC101">
        <v>15.71</v>
      </c>
      <c r="AD101">
        <v>0.04</v>
      </c>
      <c r="AE101">
        <v>0</v>
      </c>
      <c r="AF101">
        <v>0</v>
      </c>
      <c r="AG101">
        <v>1</v>
      </c>
      <c r="AH101">
        <v>15.71</v>
      </c>
      <c r="AI101">
        <v>15.71</v>
      </c>
      <c r="AJ101">
        <v>15.71</v>
      </c>
      <c r="AK101">
        <v>0.04</v>
      </c>
      <c r="AL101">
        <v>0.04</v>
      </c>
      <c r="AM101">
        <v>0.04</v>
      </c>
      <c r="AN101">
        <v>0</v>
      </c>
      <c r="AO101">
        <v>0</v>
      </c>
      <c r="AP101">
        <v>0</v>
      </c>
      <c r="AQ101">
        <v>1773.483782</v>
      </c>
      <c r="AR101">
        <v>0</v>
      </c>
      <c r="AS101">
        <v>100</v>
      </c>
      <c r="AT101">
        <v>1</v>
      </c>
      <c r="AU101">
        <v>100</v>
      </c>
      <c r="AV101">
        <v>12</v>
      </c>
      <c r="AW101" t="s">
        <v>764</v>
      </c>
      <c r="AX101" t="s">
        <v>146</v>
      </c>
      <c r="AY101" t="s">
        <v>501</v>
      </c>
      <c r="AZ101">
        <v>942</v>
      </c>
      <c r="BA101" t="s">
        <v>551</v>
      </c>
      <c r="BB101">
        <v>1213</v>
      </c>
      <c r="BC101" t="s">
        <v>765</v>
      </c>
      <c r="BD101">
        <v>1980</v>
      </c>
      <c r="BE101">
        <v>0</v>
      </c>
      <c r="BF101">
        <v>1786.1289389999999</v>
      </c>
    </row>
    <row r="102" spans="1:58" x14ac:dyDescent="0.2">
      <c r="A102">
        <v>101</v>
      </c>
      <c r="B102" t="s">
        <v>147</v>
      </c>
      <c r="C102">
        <v>0</v>
      </c>
      <c r="H102" t="s">
        <v>147</v>
      </c>
      <c r="I102" t="s">
        <v>148</v>
      </c>
      <c r="Q102" t="s">
        <v>147</v>
      </c>
      <c r="R102">
        <v>15.90713349</v>
      </c>
      <c r="S102">
        <v>6</v>
      </c>
      <c r="T102">
        <v>130</v>
      </c>
      <c r="V102">
        <v>0</v>
      </c>
      <c r="W102">
        <v>0</v>
      </c>
      <c r="X102" t="s">
        <v>147</v>
      </c>
      <c r="Y102">
        <v>1</v>
      </c>
      <c r="Z102">
        <v>6</v>
      </c>
      <c r="AA102">
        <v>15.91</v>
      </c>
      <c r="AB102">
        <v>130</v>
      </c>
      <c r="AC102">
        <v>0.14000000000000001</v>
      </c>
      <c r="AD102">
        <v>0</v>
      </c>
      <c r="AE102">
        <v>0</v>
      </c>
      <c r="AF102">
        <v>0</v>
      </c>
      <c r="AG102">
        <v>1</v>
      </c>
      <c r="AH102">
        <v>0.14000000000000001</v>
      </c>
      <c r="AI102">
        <v>0.14000000000000001</v>
      </c>
      <c r="AJ102">
        <v>0.14000000000000001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15.90713349</v>
      </c>
      <c r="AR102">
        <v>0</v>
      </c>
      <c r="AS102">
        <v>101</v>
      </c>
      <c r="AT102">
        <v>1</v>
      </c>
      <c r="AU102">
        <v>101</v>
      </c>
      <c r="AV102">
        <v>6</v>
      </c>
      <c r="AW102" t="s">
        <v>766</v>
      </c>
      <c r="AX102" t="s">
        <v>148</v>
      </c>
      <c r="AY102" t="s">
        <v>501</v>
      </c>
      <c r="AZ102">
        <v>860</v>
      </c>
      <c r="BA102" t="s">
        <v>767</v>
      </c>
      <c r="BB102">
        <v>861</v>
      </c>
      <c r="BC102" t="s">
        <v>768</v>
      </c>
      <c r="BD102">
        <v>1930</v>
      </c>
      <c r="BE102">
        <v>0</v>
      </c>
      <c r="BF102">
        <v>235.13300129999999</v>
      </c>
    </row>
    <row r="103" spans="1:58" x14ac:dyDescent="0.2">
      <c r="A103">
        <v>102</v>
      </c>
      <c r="B103" t="s">
        <v>149</v>
      </c>
      <c r="C103">
        <v>0</v>
      </c>
      <c r="H103" t="s">
        <v>149</v>
      </c>
      <c r="I103" t="s">
        <v>148</v>
      </c>
      <c r="Q103" t="s">
        <v>149</v>
      </c>
      <c r="R103">
        <v>219.2257774</v>
      </c>
      <c r="S103">
        <v>6</v>
      </c>
      <c r="T103">
        <v>130</v>
      </c>
      <c r="V103">
        <v>0</v>
      </c>
      <c r="W103">
        <v>0</v>
      </c>
      <c r="X103" t="s">
        <v>149</v>
      </c>
      <c r="Y103">
        <v>1</v>
      </c>
      <c r="Z103">
        <v>6</v>
      </c>
      <c r="AA103">
        <v>219.23</v>
      </c>
      <c r="AB103">
        <v>130</v>
      </c>
      <c r="AC103">
        <v>0.14000000000000001</v>
      </c>
      <c r="AD103">
        <v>0</v>
      </c>
      <c r="AE103">
        <v>0</v>
      </c>
      <c r="AF103">
        <v>0</v>
      </c>
      <c r="AG103">
        <v>1</v>
      </c>
      <c r="AH103">
        <v>0.14000000000000001</v>
      </c>
      <c r="AI103">
        <v>0.14000000000000001</v>
      </c>
      <c r="AJ103">
        <v>0.14000000000000001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219.2257774</v>
      </c>
      <c r="AR103">
        <v>0</v>
      </c>
      <c r="AS103">
        <v>102</v>
      </c>
      <c r="AT103">
        <v>1</v>
      </c>
      <c r="AU103">
        <v>102</v>
      </c>
      <c r="AV103">
        <v>6</v>
      </c>
      <c r="AW103" t="s">
        <v>766</v>
      </c>
      <c r="AX103" t="s">
        <v>148</v>
      </c>
      <c r="AY103" t="s">
        <v>501</v>
      </c>
      <c r="AZ103">
        <v>860</v>
      </c>
      <c r="BA103" t="s">
        <v>767</v>
      </c>
      <c r="BB103">
        <v>861</v>
      </c>
      <c r="BC103" t="s">
        <v>768</v>
      </c>
      <c r="BD103">
        <v>1930</v>
      </c>
      <c r="BE103">
        <v>0</v>
      </c>
      <c r="BF103">
        <v>235.13300129999999</v>
      </c>
    </row>
    <row r="104" spans="1:58" x14ac:dyDescent="0.2">
      <c r="A104">
        <v>103</v>
      </c>
      <c r="B104" t="s">
        <v>150</v>
      </c>
      <c r="C104">
        <v>0</v>
      </c>
      <c r="H104" t="s">
        <v>150</v>
      </c>
      <c r="I104" t="s">
        <v>146</v>
      </c>
      <c r="Q104" t="s">
        <v>150</v>
      </c>
      <c r="R104">
        <v>130.0246617</v>
      </c>
      <c r="S104">
        <v>6</v>
      </c>
      <c r="T104">
        <v>130</v>
      </c>
      <c r="V104">
        <v>0</v>
      </c>
      <c r="W104">
        <v>0</v>
      </c>
      <c r="X104" t="s">
        <v>150</v>
      </c>
      <c r="Y104">
        <v>-1</v>
      </c>
      <c r="Z104">
        <v>6</v>
      </c>
      <c r="AA104">
        <v>130.02000000000001</v>
      </c>
      <c r="AB104">
        <v>130</v>
      </c>
      <c r="AC104">
        <v>8.8800000000000008</v>
      </c>
      <c r="AD104">
        <v>0.1</v>
      </c>
      <c r="AE104">
        <v>0</v>
      </c>
      <c r="AF104">
        <v>0.01</v>
      </c>
      <c r="AG104">
        <v>1</v>
      </c>
      <c r="AH104">
        <v>8.8800000000000008</v>
      </c>
      <c r="AI104">
        <v>8.8800000000000008</v>
      </c>
      <c r="AJ104">
        <v>8.8800000000000008</v>
      </c>
      <c r="AK104">
        <v>0.1</v>
      </c>
      <c r="AL104">
        <v>0.1</v>
      </c>
      <c r="AM104">
        <v>0.1</v>
      </c>
      <c r="AN104">
        <v>0</v>
      </c>
      <c r="AO104">
        <v>0</v>
      </c>
      <c r="AP104">
        <v>0</v>
      </c>
      <c r="AQ104">
        <v>130.0246617</v>
      </c>
      <c r="AR104">
        <v>0</v>
      </c>
      <c r="AS104">
        <v>103</v>
      </c>
      <c r="AT104">
        <v>1</v>
      </c>
      <c r="AU104">
        <v>103</v>
      </c>
      <c r="AV104">
        <v>6</v>
      </c>
      <c r="AW104" t="s">
        <v>537</v>
      </c>
      <c r="AX104" t="s">
        <v>146</v>
      </c>
      <c r="AY104" t="s">
        <v>501</v>
      </c>
      <c r="AZ104">
        <v>1683</v>
      </c>
      <c r="BA104" t="s">
        <v>538</v>
      </c>
      <c r="BB104">
        <v>1041</v>
      </c>
      <c r="BC104" t="s">
        <v>535</v>
      </c>
      <c r="BD104">
        <v>1980</v>
      </c>
      <c r="BE104">
        <v>0</v>
      </c>
      <c r="BF104">
        <v>52.53767294</v>
      </c>
    </row>
    <row r="105" spans="1:58" x14ac:dyDescent="0.2">
      <c r="A105">
        <v>104</v>
      </c>
      <c r="B105" t="s">
        <v>151</v>
      </c>
      <c r="C105">
        <v>0</v>
      </c>
      <c r="H105" t="s">
        <v>151</v>
      </c>
      <c r="I105" t="s">
        <v>146</v>
      </c>
      <c r="Q105" t="s">
        <v>151</v>
      </c>
      <c r="R105">
        <v>47.06334854</v>
      </c>
      <c r="S105">
        <v>6</v>
      </c>
      <c r="T105">
        <v>130</v>
      </c>
      <c r="V105">
        <v>0</v>
      </c>
      <c r="W105">
        <v>0</v>
      </c>
      <c r="X105" t="s">
        <v>151</v>
      </c>
      <c r="Y105">
        <v>-1</v>
      </c>
      <c r="Z105">
        <v>6</v>
      </c>
      <c r="AA105">
        <v>47.06</v>
      </c>
      <c r="AB105">
        <v>130</v>
      </c>
      <c r="AC105">
        <v>9.16</v>
      </c>
      <c r="AD105">
        <v>0.1</v>
      </c>
      <c r="AE105">
        <v>0</v>
      </c>
      <c r="AF105">
        <v>0.01</v>
      </c>
      <c r="AG105">
        <v>1</v>
      </c>
      <c r="AH105">
        <v>9.16</v>
      </c>
      <c r="AI105">
        <v>9.16</v>
      </c>
      <c r="AJ105">
        <v>9.16</v>
      </c>
      <c r="AK105">
        <v>0.1</v>
      </c>
      <c r="AL105">
        <v>0.1</v>
      </c>
      <c r="AM105">
        <v>0.1</v>
      </c>
      <c r="AN105">
        <v>0</v>
      </c>
      <c r="AO105">
        <v>0</v>
      </c>
      <c r="AP105">
        <v>0</v>
      </c>
      <c r="AQ105">
        <v>47.06334854</v>
      </c>
      <c r="AR105">
        <v>0</v>
      </c>
      <c r="AS105">
        <v>104</v>
      </c>
      <c r="AT105">
        <v>1</v>
      </c>
      <c r="AU105">
        <v>104</v>
      </c>
      <c r="AV105">
        <v>6</v>
      </c>
      <c r="AW105" t="s">
        <v>539</v>
      </c>
      <c r="AX105" t="s">
        <v>45</v>
      </c>
      <c r="AY105" t="s">
        <v>501</v>
      </c>
      <c r="AZ105">
        <v>1041</v>
      </c>
      <c r="BA105" t="s">
        <v>535</v>
      </c>
      <c r="BB105">
        <v>1684</v>
      </c>
      <c r="BC105" t="s">
        <v>540</v>
      </c>
      <c r="BD105">
        <v>1950</v>
      </c>
      <c r="BE105">
        <v>0</v>
      </c>
      <c r="BF105">
        <v>399.34749679999999</v>
      </c>
    </row>
    <row r="106" spans="1:58" x14ac:dyDescent="0.2">
      <c r="A106">
        <v>105</v>
      </c>
      <c r="B106" t="s">
        <v>152</v>
      </c>
      <c r="C106">
        <v>0</v>
      </c>
      <c r="H106" t="s">
        <v>152</v>
      </c>
      <c r="I106" t="s">
        <v>146</v>
      </c>
      <c r="Q106" t="s">
        <v>152</v>
      </c>
      <c r="R106">
        <v>38.265259919999998</v>
      </c>
      <c r="S106">
        <v>6</v>
      </c>
      <c r="T106">
        <v>130</v>
      </c>
      <c r="V106">
        <v>0</v>
      </c>
      <c r="W106">
        <v>0</v>
      </c>
      <c r="X106" t="s">
        <v>152</v>
      </c>
      <c r="Y106">
        <v>-1</v>
      </c>
      <c r="Z106">
        <v>6</v>
      </c>
      <c r="AA106">
        <v>38.270000000000003</v>
      </c>
      <c r="AB106">
        <v>130</v>
      </c>
      <c r="AC106">
        <v>6.45</v>
      </c>
      <c r="AD106">
        <v>7.0000000000000007E-2</v>
      </c>
      <c r="AE106">
        <v>0</v>
      </c>
      <c r="AF106">
        <v>0.01</v>
      </c>
      <c r="AG106">
        <v>1</v>
      </c>
      <c r="AH106">
        <v>6.45</v>
      </c>
      <c r="AI106">
        <v>6.45</v>
      </c>
      <c r="AJ106">
        <v>6.45</v>
      </c>
      <c r="AK106">
        <v>7.0000000000000007E-2</v>
      </c>
      <c r="AL106">
        <v>7.0000000000000007E-2</v>
      </c>
      <c r="AM106">
        <v>7.0000000000000007E-2</v>
      </c>
      <c r="AN106">
        <v>0</v>
      </c>
      <c r="AO106">
        <v>0</v>
      </c>
      <c r="AP106">
        <v>0</v>
      </c>
      <c r="AQ106">
        <v>38.265259919999998</v>
      </c>
      <c r="AR106">
        <v>0</v>
      </c>
      <c r="AS106">
        <v>105</v>
      </c>
      <c r="AT106">
        <v>1</v>
      </c>
      <c r="AU106">
        <v>105</v>
      </c>
      <c r="AV106">
        <v>6</v>
      </c>
      <c r="AW106" t="s">
        <v>539</v>
      </c>
      <c r="AX106" t="s">
        <v>45</v>
      </c>
      <c r="AY106" t="s">
        <v>501</v>
      </c>
      <c r="AZ106">
        <v>1041</v>
      </c>
      <c r="BA106" t="s">
        <v>535</v>
      </c>
      <c r="BB106">
        <v>1684</v>
      </c>
      <c r="BC106" t="s">
        <v>540</v>
      </c>
      <c r="BD106">
        <v>1950</v>
      </c>
      <c r="BE106">
        <v>0</v>
      </c>
      <c r="BF106">
        <v>399.34749679999999</v>
      </c>
    </row>
    <row r="107" spans="1:58" x14ac:dyDescent="0.2">
      <c r="A107">
        <v>106</v>
      </c>
      <c r="B107" t="s">
        <v>153</v>
      </c>
      <c r="C107">
        <v>0</v>
      </c>
      <c r="H107" t="s">
        <v>153</v>
      </c>
      <c r="I107" t="s">
        <v>146</v>
      </c>
      <c r="Q107" t="s">
        <v>153</v>
      </c>
      <c r="R107">
        <v>192.46866549999999</v>
      </c>
      <c r="S107">
        <v>6</v>
      </c>
      <c r="T107">
        <v>130</v>
      </c>
      <c r="V107">
        <v>0</v>
      </c>
      <c r="W107">
        <v>0</v>
      </c>
      <c r="X107" t="s">
        <v>153</v>
      </c>
      <c r="Y107">
        <v>-1</v>
      </c>
      <c r="Z107">
        <v>6</v>
      </c>
      <c r="AA107">
        <v>192.47</v>
      </c>
      <c r="AB107">
        <v>130</v>
      </c>
      <c r="AC107">
        <v>6.45</v>
      </c>
      <c r="AD107">
        <v>7.0000000000000007E-2</v>
      </c>
      <c r="AE107">
        <v>0</v>
      </c>
      <c r="AF107">
        <v>0.01</v>
      </c>
      <c r="AG107">
        <v>1</v>
      </c>
      <c r="AH107">
        <v>6.45</v>
      </c>
      <c r="AI107">
        <v>6.45</v>
      </c>
      <c r="AJ107">
        <v>6.45</v>
      </c>
      <c r="AK107">
        <v>7.0000000000000007E-2</v>
      </c>
      <c r="AL107">
        <v>7.0000000000000007E-2</v>
      </c>
      <c r="AM107">
        <v>7.0000000000000007E-2</v>
      </c>
      <c r="AN107">
        <v>0</v>
      </c>
      <c r="AO107">
        <v>0</v>
      </c>
      <c r="AP107">
        <v>0</v>
      </c>
      <c r="AQ107">
        <v>192.46866549999999</v>
      </c>
      <c r="AR107">
        <v>0</v>
      </c>
      <c r="AS107">
        <v>106</v>
      </c>
      <c r="AT107">
        <v>1</v>
      </c>
      <c r="AU107">
        <v>106</v>
      </c>
      <c r="AV107">
        <v>6</v>
      </c>
      <c r="AW107" t="s">
        <v>534</v>
      </c>
      <c r="AX107" t="s">
        <v>146</v>
      </c>
      <c r="AY107" t="s">
        <v>501</v>
      </c>
      <c r="AZ107">
        <v>1041</v>
      </c>
      <c r="BA107" t="s">
        <v>535</v>
      </c>
      <c r="BB107">
        <v>1682</v>
      </c>
      <c r="BC107" t="s">
        <v>536</v>
      </c>
      <c r="BD107">
        <v>1980</v>
      </c>
      <c r="BE107">
        <v>0</v>
      </c>
      <c r="BF107">
        <v>275.0212621</v>
      </c>
    </row>
    <row r="108" spans="1:58" x14ac:dyDescent="0.2">
      <c r="A108">
        <v>107</v>
      </c>
      <c r="B108" t="s">
        <v>154</v>
      </c>
      <c r="C108">
        <v>0</v>
      </c>
      <c r="H108" t="s">
        <v>154</v>
      </c>
      <c r="I108" t="s">
        <v>146</v>
      </c>
      <c r="Q108" t="s">
        <v>154</v>
      </c>
      <c r="R108">
        <v>746.63834559999998</v>
      </c>
      <c r="S108">
        <v>6</v>
      </c>
      <c r="T108">
        <v>130</v>
      </c>
      <c r="V108">
        <v>0</v>
      </c>
      <c r="W108">
        <v>0</v>
      </c>
      <c r="X108" t="s">
        <v>154</v>
      </c>
      <c r="Y108">
        <v>-1</v>
      </c>
      <c r="Z108">
        <v>6</v>
      </c>
      <c r="AA108">
        <v>746.64</v>
      </c>
      <c r="AB108">
        <v>130</v>
      </c>
      <c r="AC108">
        <v>8.25</v>
      </c>
      <c r="AD108">
        <v>0.09</v>
      </c>
      <c r="AE108">
        <v>0.01</v>
      </c>
      <c r="AF108">
        <v>0.01</v>
      </c>
      <c r="AG108">
        <v>1</v>
      </c>
      <c r="AH108">
        <v>8.25</v>
      </c>
      <c r="AI108">
        <v>8.25</v>
      </c>
      <c r="AJ108">
        <v>8.25</v>
      </c>
      <c r="AK108">
        <v>0.09</v>
      </c>
      <c r="AL108">
        <v>0.09</v>
      </c>
      <c r="AM108">
        <v>0.09</v>
      </c>
      <c r="AN108">
        <v>0.01</v>
      </c>
      <c r="AO108">
        <v>0.01</v>
      </c>
      <c r="AP108">
        <v>0.01</v>
      </c>
      <c r="AQ108">
        <v>746.63834559999998</v>
      </c>
      <c r="AR108">
        <v>0</v>
      </c>
      <c r="AS108">
        <v>107</v>
      </c>
      <c r="AT108">
        <v>1</v>
      </c>
      <c r="AU108">
        <v>107</v>
      </c>
      <c r="AV108">
        <v>6</v>
      </c>
      <c r="AW108" t="s">
        <v>769</v>
      </c>
      <c r="AX108" t="s">
        <v>45</v>
      </c>
      <c r="AY108" t="s">
        <v>501</v>
      </c>
      <c r="AZ108">
        <v>1516</v>
      </c>
      <c r="BA108" t="s">
        <v>770</v>
      </c>
      <c r="BB108">
        <v>1682</v>
      </c>
      <c r="BC108" t="s">
        <v>536</v>
      </c>
      <c r="BD108">
        <v>1930</v>
      </c>
      <c r="BE108">
        <v>0</v>
      </c>
      <c r="BF108">
        <v>12.92414364</v>
      </c>
    </row>
    <row r="109" spans="1:58" x14ac:dyDescent="0.2">
      <c r="A109">
        <v>108</v>
      </c>
      <c r="B109" t="s">
        <v>155</v>
      </c>
      <c r="C109">
        <v>0</v>
      </c>
      <c r="H109" t="s">
        <v>155</v>
      </c>
      <c r="I109" t="s">
        <v>146</v>
      </c>
      <c r="Q109" t="s">
        <v>155</v>
      </c>
      <c r="R109">
        <v>27.18767545</v>
      </c>
      <c r="S109">
        <v>6</v>
      </c>
      <c r="T109">
        <v>130</v>
      </c>
      <c r="V109">
        <v>0</v>
      </c>
      <c r="W109">
        <v>0</v>
      </c>
      <c r="X109" t="s">
        <v>155</v>
      </c>
      <c r="Y109">
        <v>-1</v>
      </c>
      <c r="Z109">
        <v>6</v>
      </c>
      <c r="AA109">
        <v>27.19</v>
      </c>
      <c r="AB109">
        <v>130</v>
      </c>
      <c r="AC109">
        <v>10.06</v>
      </c>
      <c r="AD109">
        <v>0.11</v>
      </c>
      <c r="AE109">
        <v>0</v>
      </c>
      <c r="AF109">
        <v>0.02</v>
      </c>
      <c r="AG109">
        <v>1</v>
      </c>
      <c r="AH109">
        <v>10.06</v>
      </c>
      <c r="AI109">
        <v>10.06</v>
      </c>
      <c r="AJ109">
        <v>10.06</v>
      </c>
      <c r="AK109">
        <v>0.11</v>
      </c>
      <c r="AL109">
        <v>0.11</v>
      </c>
      <c r="AM109">
        <v>0.11</v>
      </c>
      <c r="AN109">
        <v>0</v>
      </c>
      <c r="AO109">
        <v>0</v>
      </c>
      <c r="AP109">
        <v>0</v>
      </c>
      <c r="AQ109">
        <v>27.18767545</v>
      </c>
      <c r="AR109">
        <v>0</v>
      </c>
      <c r="AS109">
        <v>108</v>
      </c>
      <c r="AT109">
        <v>1</v>
      </c>
      <c r="AU109">
        <v>108</v>
      </c>
      <c r="AV109">
        <v>6</v>
      </c>
      <c r="AW109" t="s">
        <v>531</v>
      </c>
      <c r="AX109" t="s">
        <v>146</v>
      </c>
      <c r="AY109" t="s">
        <v>501</v>
      </c>
      <c r="AZ109">
        <v>905</v>
      </c>
      <c r="BA109" t="s">
        <v>532</v>
      </c>
      <c r="BB109">
        <v>1681</v>
      </c>
      <c r="BC109" t="s">
        <v>533</v>
      </c>
      <c r="BD109">
        <v>1980</v>
      </c>
      <c r="BE109">
        <v>0</v>
      </c>
      <c r="BF109">
        <v>66.359590749999995</v>
      </c>
    </row>
    <row r="110" spans="1:58" x14ac:dyDescent="0.2">
      <c r="A110">
        <v>109</v>
      </c>
      <c r="B110" t="s">
        <v>156</v>
      </c>
      <c r="C110">
        <v>0</v>
      </c>
      <c r="H110" t="s">
        <v>156</v>
      </c>
      <c r="I110" t="s">
        <v>146</v>
      </c>
      <c r="Q110" t="s">
        <v>156</v>
      </c>
      <c r="R110">
        <v>373.28804439999999</v>
      </c>
      <c r="S110">
        <v>6</v>
      </c>
      <c r="T110">
        <v>130</v>
      </c>
      <c r="V110">
        <v>0</v>
      </c>
      <c r="W110">
        <v>0</v>
      </c>
      <c r="X110" t="s">
        <v>156</v>
      </c>
      <c r="Y110">
        <v>-1</v>
      </c>
      <c r="Z110">
        <v>6</v>
      </c>
      <c r="AA110">
        <v>373.29</v>
      </c>
      <c r="AB110">
        <v>130</v>
      </c>
      <c r="AC110">
        <v>10.06</v>
      </c>
      <c r="AD110">
        <v>0.11</v>
      </c>
      <c r="AE110">
        <v>0.01</v>
      </c>
      <c r="AF110">
        <v>0.01</v>
      </c>
      <c r="AG110">
        <v>1</v>
      </c>
      <c r="AH110">
        <v>10.06</v>
      </c>
      <c r="AI110">
        <v>10.06</v>
      </c>
      <c r="AJ110">
        <v>10.06</v>
      </c>
      <c r="AK110">
        <v>0.11</v>
      </c>
      <c r="AL110">
        <v>0.11</v>
      </c>
      <c r="AM110">
        <v>0.11</v>
      </c>
      <c r="AN110">
        <v>0.01</v>
      </c>
      <c r="AO110">
        <v>0.01</v>
      </c>
      <c r="AP110">
        <v>0.01</v>
      </c>
      <c r="AQ110">
        <v>373.28804439999999</v>
      </c>
      <c r="AR110">
        <v>0</v>
      </c>
      <c r="AS110">
        <v>109</v>
      </c>
      <c r="AT110">
        <v>1</v>
      </c>
      <c r="AU110">
        <v>109</v>
      </c>
      <c r="AV110">
        <v>6</v>
      </c>
      <c r="AW110" t="s">
        <v>528</v>
      </c>
      <c r="AX110" t="s">
        <v>45</v>
      </c>
      <c r="AY110" t="s">
        <v>501</v>
      </c>
      <c r="AZ110">
        <v>1514</v>
      </c>
      <c r="BA110" t="s">
        <v>529</v>
      </c>
      <c r="BB110">
        <v>944</v>
      </c>
      <c r="BC110" t="s">
        <v>530</v>
      </c>
      <c r="BD110">
        <v>1930</v>
      </c>
      <c r="BE110">
        <v>0</v>
      </c>
      <c r="BF110">
        <v>14.144113109999999</v>
      </c>
    </row>
    <row r="111" spans="1:58" x14ac:dyDescent="0.2">
      <c r="A111">
        <v>110</v>
      </c>
      <c r="B111" t="s">
        <v>157</v>
      </c>
      <c r="C111">
        <v>0</v>
      </c>
      <c r="H111" t="s">
        <v>157</v>
      </c>
      <c r="I111" t="s">
        <v>158</v>
      </c>
      <c r="Q111" t="s">
        <v>157</v>
      </c>
      <c r="R111">
        <v>10.91095048</v>
      </c>
      <c r="S111">
        <v>6</v>
      </c>
      <c r="T111">
        <v>130</v>
      </c>
      <c r="V111">
        <v>0</v>
      </c>
      <c r="W111">
        <v>0</v>
      </c>
      <c r="X111" t="s">
        <v>157</v>
      </c>
      <c r="Y111">
        <v>-1</v>
      </c>
      <c r="Z111">
        <v>6</v>
      </c>
      <c r="AA111">
        <v>10.91</v>
      </c>
      <c r="AB111">
        <v>130</v>
      </c>
      <c r="AC111">
        <v>11.45</v>
      </c>
      <c r="AD111">
        <v>0.13</v>
      </c>
      <c r="AE111">
        <v>0</v>
      </c>
      <c r="AF111">
        <v>0.02</v>
      </c>
      <c r="AG111">
        <v>1</v>
      </c>
      <c r="AH111">
        <v>11.45</v>
      </c>
      <c r="AI111">
        <v>11.45</v>
      </c>
      <c r="AJ111">
        <v>11.45</v>
      </c>
      <c r="AK111">
        <v>0.13</v>
      </c>
      <c r="AL111">
        <v>0.13</v>
      </c>
      <c r="AM111">
        <v>0.13</v>
      </c>
      <c r="AN111">
        <v>0</v>
      </c>
      <c r="AO111">
        <v>0</v>
      </c>
      <c r="AP111">
        <v>0</v>
      </c>
      <c r="AQ111">
        <v>10.91095048</v>
      </c>
      <c r="AR111">
        <v>0</v>
      </c>
      <c r="AS111">
        <v>110</v>
      </c>
      <c r="AT111">
        <v>1</v>
      </c>
      <c r="AU111">
        <v>110</v>
      </c>
      <c r="AV111">
        <v>6</v>
      </c>
      <c r="AW111" t="s">
        <v>771</v>
      </c>
      <c r="AX111" t="s">
        <v>158</v>
      </c>
      <c r="AY111" t="s">
        <v>501</v>
      </c>
      <c r="AZ111">
        <v>944</v>
      </c>
      <c r="BA111" t="s">
        <v>530</v>
      </c>
      <c r="BB111">
        <v>873</v>
      </c>
      <c r="BC111" t="s">
        <v>772</v>
      </c>
      <c r="BD111">
        <v>1950</v>
      </c>
      <c r="BE111">
        <v>0</v>
      </c>
      <c r="BF111">
        <v>10.91114052</v>
      </c>
    </row>
    <row r="112" spans="1:58" x14ac:dyDescent="0.2">
      <c r="A112">
        <v>111</v>
      </c>
      <c r="B112" t="s">
        <v>159</v>
      </c>
      <c r="C112">
        <v>0</v>
      </c>
      <c r="H112" t="s">
        <v>159</v>
      </c>
      <c r="I112" t="s">
        <v>45</v>
      </c>
      <c r="Q112" t="s">
        <v>159</v>
      </c>
      <c r="R112">
        <v>84.748975340000001</v>
      </c>
      <c r="S112">
        <v>6</v>
      </c>
      <c r="T112">
        <v>130</v>
      </c>
      <c r="V112">
        <v>0</v>
      </c>
      <c r="W112">
        <v>0</v>
      </c>
      <c r="X112" t="s">
        <v>159</v>
      </c>
      <c r="Y112">
        <v>0</v>
      </c>
      <c r="Z112">
        <v>6</v>
      </c>
      <c r="AA112">
        <v>84.75</v>
      </c>
      <c r="AB112">
        <v>130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84.748975340000001</v>
      </c>
      <c r="AR112">
        <v>0</v>
      </c>
      <c r="AS112">
        <v>111</v>
      </c>
      <c r="AT112">
        <v>1</v>
      </c>
      <c r="AU112">
        <v>111</v>
      </c>
      <c r="AV112">
        <v>6</v>
      </c>
      <c r="AW112" t="s">
        <v>773</v>
      </c>
      <c r="AX112" t="s">
        <v>45</v>
      </c>
      <c r="AY112" t="s">
        <v>501</v>
      </c>
      <c r="AZ112">
        <v>840</v>
      </c>
      <c r="BA112" t="s">
        <v>774</v>
      </c>
      <c r="BB112">
        <v>841</v>
      </c>
      <c r="BC112" t="s">
        <v>775</v>
      </c>
      <c r="BD112">
        <v>1930</v>
      </c>
      <c r="BE112">
        <v>0</v>
      </c>
      <c r="BF112">
        <v>84.748865899999998</v>
      </c>
    </row>
    <row r="113" spans="1:58" x14ac:dyDescent="0.2">
      <c r="A113">
        <v>112</v>
      </c>
      <c r="B113" t="s">
        <v>160</v>
      </c>
      <c r="C113">
        <v>0</v>
      </c>
      <c r="H113" t="s">
        <v>160</v>
      </c>
      <c r="I113" t="s">
        <v>45</v>
      </c>
      <c r="Q113" t="s">
        <v>160</v>
      </c>
      <c r="R113">
        <v>454.878782</v>
      </c>
      <c r="S113">
        <v>6</v>
      </c>
      <c r="T113">
        <v>130</v>
      </c>
      <c r="V113">
        <v>0</v>
      </c>
      <c r="W113">
        <v>0</v>
      </c>
      <c r="X113" t="s">
        <v>160</v>
      </c>
      <c r="Y113">
        <v>-1</v>
      </c>
      <c r="Z113">
        <v>6</v>
      </c>
      <c r="AA113">
        <v>454.88</v>
      </c>
      <c r="AB113">
        <v>130</v>
      </c>
      <c r="AC113">
        <v>0.69</v>
      </c>
      <c r="AD113">
        <v>0.01</v>
      </c>
      <c r="AE113">
        <v>0</v>
      </c>
      <c r="AF113">
        <v>0</v>
      </c>
      <c r="AG113">
        <v>1</v>
      </c>
      <c r="AH113">
        <v>0.69</v>
      </c>
      <c r="AI113">
        <v>0.69</v>
      </c>
      <c r="AJ113">
        <v>0.69</v>
      </c>
      <c r="AK113">
        <v>0.01</v>
      </c>
      <c r="AL113">
        <v>0.01</v>
      </c>
      <c r="AM113">
        <v>0.01</v>
      </c>
      <c r="AN113">
        <v>0</v>
      </c>
      <c r="AO113">
        <v>0</v>
      </c>
      <c r="AP113">
        <v>0</v>
      </c>
      <c r="AQ113">
        <v>454.878782</v>
      </c>
      <c r="AR113">
        <v>0</v>
      </c>
      <c r="AS113">
        <v>112</v>
      </c>
      <c r="AT113">
        <v>1</v>
      </c>
      <c r="AU113">
        <v>112</v>
      </c>
      <c r="AV113">
        <v>6</v>
      </c>
      <c r="AW113" t="s">
        <v>773</v>
      </c>
      <c r="AX113" t="s">
        <v>45</v>
      </c>
      <c r="AY113" t="s">
        <v>501</v>
      </c>
      <c r="AZ113">
        <v>840</v>
      </c>
      <c r="BA113" t="s">
        <v>774</v>
      </c>
      <c r="BB113">
        <v>841</v>
      </c>
      <c r="BC113" t="s">
        <v>775</v>
      </c>
      <c r="BD113">
        <v>1930</v>
      </c>
      <c r="BE113">
        <v>0</v>
      </c>
      <c r="BF113">
        <v>84.748865899999998</v>
      </c>
    </row>
    <row r="114" spans="1:58" x14ac:dyDescent="0.2">
      <c r="A114">
        <v>113</v>
      </c>
      <c r="B114" t="s">
        <v>161</v>
      </c>
      <c r="C114">
        <v>0</v>
      </c>
      <c r="H114" t="s">
        <v>161</v>
      </c>
      <c r="I114" t="s">
        <v>158</v>
      </c>
      <c r="Q114" t="s">
        <v>161</v>
      </c>
      <c r="R114">
        <v>13.59322959</v>
      </c>
      <c r="S114">
        <v>6</v>
      </c>
      <c r="T114">
        <v>130</v>
      </c>
      <c r="V114">
        <v>0</v>
      </c>
      <c r="W114">
        <v>0</v>
      </c>
      <c r="X114" t="s">
        <v>161</v>
      </c>
      <c r="Y114">
        <v>-1</v>
      </c>
      <c r="Z114">
        <v>6</v>
      </c>
      <c r="AA114">
        <v>13.59</v>
      </c>
      <c r="AB114">
        <v>130</v>
      </c>
      <c r="AC114">
        <v>11.45</v>
      </c>
      <c r="AD114">
        <v>0.13</v>
      </c>
      <c r="AE114">
        <v>0</v>
      </c>
      <c r="AF114">
        <v>0.02</v>
      </c>
      <c r="AG114">
        <v>1</v>
      </c>
      <c r="AH114">
        <v>11.45</v>
      </c>
      <c r="AI114">
        <v>11.45</v>
      </c>
      <c r="AJ114">
        <v>11.45</v>
      </c>
      <c r="AK114">
        <v>0.13</v>
      </c>
      <c r="AL114">
        <v>0.13</v>
      </c>
      <c r="AM114">
        <v>0.13</v>
      </c>
      <c r="AN114">
        <v>0</v>
      </c>
      <c r="AO114">
        <v>0</v>
      </c>
      <c r="AP114">
        <v>0</v>
      </c>
      <c r="AQ114">
        <v>13.59322959</v>
      </c>
      <c r="AR114">
        <v>0</v>
      </c>
      <c r="AS114">
        <v>113</v>
      </c>
      <c r="AT114">
        <v>1</v>
      </c>
      <c r="AU114">
        <v>113</v>
      </c>
      <c r="AV114">
        <v>6</v>
      </c>
      <c r="AW114" t="s">
        <v>776</v>
      </c>
      <c r="AX114" t="s">
        <v>158</v>
      </c>
      <c r="AY114" t="s">
        <v>501</v>
      </c>
      <c r="AZ114">
        <v>873</v>
      </c>
      <c r="BA114" t="s">
        <v>772</v>
      </c>
      <c r="BB114">
        <v>867</v>
      </c>
      <c r="BC114" t="s">
        <v>777</v>
      </c>
      <c r="BD114">
        <v>1950</v>
      </c>
      <c r="BE114">
        <v>0</v>
      </c>
      <c r="BF114">
        <v>13.593306350000001</v>
      </c>
    </row>
    <row r="115" spans="1:58" x14ac:dyDescent="0.2">
      <c r="A115">
        <v>114</v>
      </c>
      <c r="B115" t="s">
        <v>162</v>
      </c>
      <c r="C115">
        <v>0</v>
      </c>
      <c r="H115" t="s">
        <v>162</v>
      </c>
      <c r="I115" t="s">
        <v>158</v>
      </c>
      <c r="Q115" t="s">
        <v>162</v>
      </c>
      <c r="R115">
        <v>502.71492619999998</v>
      </c>
      <c r="S115">
        <v>6</v>
      </c>
      <c r="T115">
        <v>130</v>
      </c>
      <c r="V115">
        <v>0</v>
      </c>
      <c r="W115">
        <v>0</v>
      </c>
      <c r="X115" t="s">
        <v>162</v>
      </c>
      <c r="Y115">
        <v>-1</v>
      </c>
      <c r="Z115">
        <v>6</v>
      </c>
      <c r="AA115">
        <v>502.71</v>
      </c>
      <c r="AB115">
        <v>130</v>
      </c>
      <c r="AC115">
        <v>19.91</v>
      </c>
      <c r="AD115">
        <v>0.23</v>
      </c>
      <c r="AE115">
        <v>0.03</v>
      </c>
      <c r="AF115">
        <v>0.05</v>
      </c>
      <c r="AG115">
        <v>1</v>
      </c>
      <c r="AH115">
        <v>19.91</v>
      </c>
      <c r="AI115">
        <v>19.91</v>
      </c>
      <c r="AJ115">
        <v>19.91</v>
      </c>
      <c r="AK115">
        <v>0.23</v>
      </c>
      <c r="AL115">
        <v>0.23</v>
      </c>
      <c r="AM115">
        <v>0.23</v>
      </c>
      <c r="AN115">
        <v>0.03</v>
      </c>
      <c r="AO115">
        <v>0.03</v>
      </c>
      <c r="AP115">
        <v>0.03</v>
      </c>
      <c r="AQ115">
        <v>502.71492619999998</v>
      </c>
      <c r="AR115">
        <v>0</v>
      </c>
      <c r="AS115">
        <v>114</v>
      </c>
      <c r="AT115">
        <v>1</v>
      </c>
      <c r="AU115">
        <v>114</v>
      </c>
      <c r="AV115">
        <v>6</v>
      </c>
      <c r="AW115" t="s">
        <v>766</v>
      </c>
      <c r="AX115" t="s">
        <v>148</v>
      </c>
      <c r="AY115" t="s">
        <v>501</v>
      </c>
      <c r="AZ115">
        <v>860</v>
      </c>
      <c r="BA115" t="s">
        <v>767</v>
      </c>
      <c r="BB115">
        <v>861</v>
      </c>
      <c r="BC115" t="s">
        <v>768</v>
      </c>
      <c r="BD115">
        <v>1930</v>
      </c>
      <c r="BE115">
        <v>0</v>
      </c>
      <c r="BF115">
        <v>235.13300129999999</v>
      </c>
    </row>
    <row r="116" spans="1:58" x14ac:dyDescent="0.2">
      <c r="A116">
        <v>115</v>
      </c>
      <c r="B116" t="s">
        <v>163</v>
      </c>
      <c r="C116">
        <v>0</v>
      </c>
      <c r="H116" t="s">
        <v>163</v>
      </c>
      <c r="I116" t="s">
        <v>148</v>
      </c>
      <c r="Q116" t="s">
        <v>163</v>
      </c>
      <c r="R116">
        <v>108.5799324</v>
      </c>
      <c r="S116">
        <v>6</v>
      </c>
      <c r="T116">
        <v>130</v>
      </c>
      <c r="V116">
        <v>0</v>
      </c>
      <c r="W116">
        <v>0</v>
      </c>
      <c r="X116" t="s">
        <v>163</v>
      </c>
      <c r="Y116">
        <v>-1</v>
      </c>
      <c r="Z116">
        <v>6</v>
      </c>
      <c r="AA116">
        <v>108.58</v>
      </c>
      <c r="AB116">
        <v>130</v>
      </c>
      <c r="AC116">
        <v>21.44</v>
      </c>
      <c r="AD116">
        <v>0.24</v>
      </c>
      <c r="AE116">
        <v>0.01</v>
      </c>
      <c r="AF116">
        <v>0.06</v>
      </c>
      <c r="AG116">
        <v>1</v>
      </c>
      <c r="AH116">
        <v>21.44</v>
      </c>
      <c r="AI116">
        <v>21.44</v>
      </c>
      <c r="AJ116">
        <v>21.44</v>
      </c>
      <c r="AK116">
        <v>0.24</v>
      </c>
      <c r="AL116">
        <v>0.24</v>
      </c>
      <c r="AM116">
        <v>0.24</v>
      </c>
      <c r="AN116">
        <v>0.01</v>
      </c>
      <c r="AO116">
        <v>0.01</v>
      </c>
      <c r="AP116">
        <v>0.01</v>
      </c>
      <c r="AQ116">
        <v>108.5799324</v>
      </c>
      <c r="AR116">
        <v>0</v>
      </c>
      <c r="AS116">
        <v>115</v>
      </c>
      <c r="AT116">
        <v>1</v>
      </c>
      <c r="AU116">
        <v>115</v>
      </c>
      <c r="AV116">
        <v>6</v>
      </c>
      <c r="AW116" t="s">
        <v>778</v>
      </c>
      <c r="AX116" t="s">
        <v>148</v>
      </c>
      <c r="AY116" t="s">
        <v>501</v>
      </c>
      <c r="AZ116">
        <v>860</v>
      </c>
      <c r="BA116" t="s">
        <v>767</v>
      </c>
      <c r="BB116">
        <v>1690</v>
      </c>
      <c r="BC116" t="s">
        <v>560</v>
      </c>
      <c r="BD116">
        <v>1930</v>
      </c>
      <c r="BE116">
        <v>0</v>
      </c>
      <c r="BF116">
        <v>108.5799844</v>
      </c>
    </row>
    <row r="117" spans="1:58" x14ac:dyDescent="0.2">
      <c r="A117">
        <v>116</v>
      </c>
      <c r="B117" t="s">
        <v>164</v>
      </c>
      <c r="C117">
        <v>0</v>
      </c>
      <c r="H117" t="s">
        <v>164</v>
      </c>
      <c r="I117" t="s">
        <v>148</v>
      </c>
      <c r="Q117" t="s">
        <v>164</v>
      </c>
      <c r="R117">
        <v>287.1336652</v>
      </c>
      <c r="S117">
        <v>6</v>
      </c>
      <c r="T117">
        <v>130</v>
      </c>
      <c r="V117">
        <v>0</v>
      </c>
      <c r="W117">
        <v>0</v>
      </c>
      <c r="X117" t="s">
        <v>164</v>
      </c>
      <c r="Y117">
        <v>-1</v>
      </c>
      <c r="Z117">
        <v>6</v>
      </c>
      <c r="AA117">
        <v>287.13</v>
      </c>
      <c r="AB117">
        <v>130</v>
      </c>
      <c r="AC117">
        <v>21.86</v>
      </c>
      <c r="AD117">
        <v>0.25</v>
      </c>
      <c r="AE117">
        <v>0.02</v>
      </c>
      <c r="AF117">
        <v>0.06</v>
      </c>
      <c r="AG117">
        <v>1</v>
      </c>
      <c r="AH117">
        <v>21.86</v>
      </c>
      <c r="AI117">
        <v>21.86</v>
      </c>
      <c r="AJ117">
        <v>21.86</v>
      </c>
      <c r="AK117">
        <v>0.25</v>
      </c>
      <c r="AL117">
        <v>0.25</v>
      </c>
      <c r="AM117">
        <v>0.25</v>
      </c>
      <c r="AN117">
        <v>0.02</v>
      </c>
      <c r="AO117">
        <v>0.02</v>
      </c>
      <c r="AP117">
        <v>0.02</v>
      </c>
      <c r="AQ117">
        <v>287.1336652</v>
      </c>
      <c r="AR117">
        <v>1</v>
      </c>
      <c r="AS117">
        <v>116</v>
      </c>
      <c r="AT117">
        <v>1</v>
      </c>
      <c r="AU117">
        <v>116</v>
      </c>
      <c r="AV117">
        <v>6</v>
      </c>
      <c r="AW117" t="s">
        <v>558</v>
      </c>
      <c r="AX117" t="s">
        <v>45</v>
      </c>
      <c r="AY117" t="s">
        <v>501</v>
      </c>
      <c r="AZ117">
        <v>1525</v>
      </c>
      <c r="BA117" t="s">
        <v>559</v>
      </c>
      <c r="BB117">
        <v>1690</v>
      </c>
      <c r="BC117" t="s">
        <v>560</v>
      </c>
      <c r="BD117">
        <v>1930</v>
      </c>
      <c r="BE117">
        <v>0</v>
      </c>
      <c r="BF117">
        <v>16.561041230000001</v>
      </c>
    </row>
    <row r="118" spans="1:58" x14ac:dyDescent="0.2">
      <c r="A118">
        <v>117</v>
      </c>
      <c r="B118" t="s">
        <v>165</v>
      </c>
      <c r="C118">
        <v>0</v>
      </c>
      <c r="H118" t="s">
        <v>165</v>
      </c>
      <c r="I118" t="s">
        <v>148</v>
      </c>
      <c r="Q118" t="s">
        <v>165</v>
      </c>
      <c r="R118">
        <v>24.810494259999999</v>
      </c>
      <c r="S118">
        <v>6</v>
      </c>
      <c r="T118">
        <v>130</v>
      </c>
      <c r="V118">
        <v>0</v>
      </c>
      <c r="W118">
        <v>0</v>
      </c>
      <c r="X118" t="s">
        <v>165</v>
      </c>
      <c r="Y118">
        <v>-1</v>
      </c>
      <c r="Z118">
        <v>6</v>
      </c>
      <c r="AA118">
        <v>24.81</v>
      </c>
      <c r="AB118">
        <v>130</v>
      </c>
      <c r="AC118">
        <v>21.86</v>
      </c>
      <c r="AD118">
        <v>0.25</v>
      </c>
      <c r="AE118">
        <v>0</v>
      </c>
      <c r="AF118">
        <v>0.06</v>
      </c>
      <c r="AG118">
        <v>1</v>
      </c>
      <c r="AH118">
        <v>21.86</v>
      </c>
      <c r="AI118">
        <v>21.86</v>
      </c>
      <c r="AJ118">
        <v>21.86</v>
      </c>
      <c r="AK118">
        <v>0.25</v>
      </c>
      <c r="AL118">
        <v>0.25</v>
      </c>
      <c r="AM118">
        <v>0.25</v>
      </c>
      <c r="AN118">
        <v>0</v>
      </c>
      <c r="AO118">
        <v>0</v>
      </c>
      <c r="AP118">
        <v>0</v>
      </c>
      <c r="AQ118">
        <v>24.810494259999999</v>
      </c>
      <c r="AR118">
        <v>1</v>
      </c>
      <c r="AS118">
        <v>117</v>
      </c>
      <c r="AT118">
        <v>1</v>
      </c>
      <c r="AU118">
        <v>117</v>
      </c>
      <c r="AV118">
        <v>6</v>
      </c>
      <c r="AW118" t="s">
        <v>779</v>
      </c>
      <c r="AX118" t="s">
        <v>148</v>
      </c>
      <c r="AY118" t="s">
        <v>501</v>
      </c>
      <c r="AZ118">
        <v>1690</v>
      </c>
      <c r="BA118" t="s">
        <v>560</v>
      </c>
      <c r="BB118">
        <v>955</v>
      </c>
      <c r="BC118" t="s">
        <v>563</v>
      </c>
      <c r="BD118">
        <v>1930</v>
      </c>
      <c r="BE118">
        <v>1</v>
      </c>
      <c r="BF118">
        <v>311.94434819999998</v>
      </c>
    </row>
    <row r="119" spans="1:58" x14ac:dyDescent="0.2">
      <c r="A119">
        <v>118</v>
      </c>
      <c r="B119" t="s">
        <v>166</v>
      </c>
      <c r="C119">
        <v>0</v>
      </c>
      <c r="H119" t="s">
        <v>166</v>
      </c>
      <c r="I119" t="s">
        <v>158</v>
      </c>
      <c r="Q119" t="s">
        <v>166</v>
      </c>
      <c r="R119">
        <v>21.535794379999999</v>
      </c>
      <c r="S119">
        <v>6</v>
      </c>
      <c r="T119">
        <v>130</v>
      </c>
      <c r="V119">
        <v>0</v>
      </c>
      <c r="W119">
        <v>0</v>
      </c>
      <c r="X119" t="s">
        <v>166</v>
      </c>
      <c r="Y119">
        <v>-1</v>
      </c>
      <c r="Z119">
        <v>6</v>
      </c>
      <c r="AA119">
        <v>21.54</v>
      </c>
      <c r="AB119">
        <v>130</v>
      </c>
      <c r="AC119">
        <v>7.45</v>
      </c>
      <c r="AD119">
        <v>0.08</v>
      </c>
      <c r="AE119">
        <v>0</v>
      </c>
      <c r="AF119">
        <v>0.01</v>
      </c>
      <c r="AG119">
        <v>1</v>
      </c>
      <c r="AH119">
        <v>7.45</v>
      </c>
      <c r="AI119">
        <v>7.45</v>
      </c>
      <c r="AJ119">
        <v>7.45</v>
      </c>
      <c r="AK119">
        <v>0.08</v>
      </c>
      <c r="AL119">
        <v>0.08</v>
      </c>
      <c r="AM119">
        <v>0.08</v>
      </c>
      <c r="AN119">
        <v>0</v>
      </c>
      <c r="AO119">
        <v>0</v>
      </c>
      <c r="AP119">
        <v>0</v>
      </c>
      <c r="AQ119">
        <v>21.535794379999999</v>
      </c>
      <c r="AR119">
        <v>0</v>
      </c>
      <c r="AS119">
        <v>118</v>
      </c>
      <c r="AT119">
        <v>1</v>
      </c>
      <c r="AU119">
        <v>118</v>
      </c>
      <c r="AV119">
        <v>6</v>
      </c>
      <c r="AW119" t="s">
        <v>504</v>
      </c>
      <c r="AX119" t="s">
        <v>45</v>
      </c>
      <c r="AY119" t="s">
        <v>501</v>
      </c>
      <c r="AZ119">
        <v>1506</v>
      </c>
      <c r="BA119" t="s">
        <v>505</v>
      </c>
      <c r="BB119">
        <v>855</v>
      </c>
      <c r="BC119" t="s">
        <v>506</v>
      </c>
      <c r="BD119">
        <v>1930</v>
      </c>
      <c r="BE119">
        <v>0</v>
      </c>
      <c r="BF119">
        <v>37.541311299999997</v>
      </c>
    </row>
    <row r="120" spans="1:58" x14ac:dyDescent="0.2">
      <c r="A120">
        <v>119</v>
      </c>
      <c r="B120" t="s">
        <v>167</v>
      </c>
      <c r="C120">
        <v>0</v>
      </c>
      <c r="H120" t="s">
        <v>167</v>
      </c>
      <c r="I120" t="s">
        <v>158</v>
      </c>
      <c r="Q120" t="s">
        <v>167</v>
      </c>
      <c r="R120">
        <v>369.63962479999998</v>
      </c>
      <c r="S120">
        <v>6</v>
      </c>
      <c r="T120">
        <v>130</v>
      </c>
      <c r="V120">
        <v>0</v>
      </c>
      <c r="W120">
        <v>0</v>
      </c>
      <c r="X120" t="s">
        <v>167</v>
      </c>
      <c r="Y120">
        <v>-1</v>
      </c>
      <c r="Z120">
        <v>6</v>
      </c>
      <c r="AA120">
        <v>369.64</v>
      </c>
      <c r="AB120">
        <v>130</v>
      </c>
      <c r="AC120">
        <v>7.45</v>
      </c>
      <c r="AD120">
        <v>0.08</v>
      </c>
      <c r="AE120">
        <v>0</v>
      </c>
      <c r="AF120">
        <v>0.01</v>
      </c>
      <c r="AG120">
        <v>1</v>
      </c>
      <c r="AH120">
        <v>7.45</v>
      </c>
      <c r="AI120">
        <v>7.45</v>
      </c>
      <c r="AJ120">
        <v>7.45</v>
      </c>
      <c r="AK120">
        <v>0.08</v>
      </c>
      <c r="AL120">
        <v>0.08</v>
      </c>
      <c r="AM120">
        <v>0.08</v>
      </c>
      <c r="AN120">
        <v>0</v>
      </c>
      <c r="AO120">
        <v>0</v>
      </c>
      <c r="AP120">
        <v>0</v>
      </c>
      <c r="AQ120">
        <v>369.63962479999998</v>
      </c>
      <c r="AR120">
        <v>0</v>
      </c>
      <c r="AS120">
        <v>119</v>
      </c>
      <c r="AT120">
        <v>1</v>
      </c>
      <c r="AU120">
        <v>119</v>
      </c>
      <c r="AV120">
        <v>6</v>
      </c>
      <c r="AW120" t="s">
        <v>780</v>
      </c>
      <c r="AX120" t="s">
        <v>158</v>
      </c>
      <c r="AY120" t="s">
        <v>501</v>
      </c>
      <c r="AZ120">
        <v>855</v>
      </c>
      <c r="BA120" t="s">
        <v>506</v>
      </c>
      <c r="BB120">
        <v>1675</v>
      </c>
      <c r="BC120" t="s">
        <v>509</v>
      </c>
      <c r="BD120">
        <v>1950</v>
      </c>
      <c r="BE120">
        <v>0</v>
      </c>
      <c r="BF120">
        <v>391.17542659999998</v>
      </c>
    </row>
    <row r="121" spans="1:58" x14ac:dyDescent="0.2">
      <c r="A121">
        <v>120</v>
      </c>
      <c r="B121" t="s">
        <v>168</v>
      </c>
      <c r="C121">
        <v>0</v>
      </c>
      <c r="H121" t="s">
        <v>168</v>
      </c>
      <c r="I121" t="s">
        <v>158</v>
      </c>
      <c r="Q121" t="s">
        <v>168</v>
      </c>
      <c r="R121">
        <v>156.88113129999999</v>
      </c>
      <c r="S121">
        <v>6</v>
      </c>
      <c r="T121">
        <v>130</v>
      </c>
      <c r="V121">
        <v>0</v>
      </c>
      <c r="W121">
        <v>0</v>
      </c>
      <c r="X121" t="s">
        <v>168</v>
      </c>
      <c r="Y121">
        <v>-1</v>
      </c>
      <c r="Z121">
        <v>6</v>
      </c>
      <c r="AA121">
        <v>156.88</v>
      </c>
      <c r="AB121">
        <v>130</v>
      </c>
      <c r="AC121">
        <v>7.73</v>
      </c>
      <c r="AD121">
        <v>0.09</v>
      </c>
      <c r="AE121">
        <v>0</v>
      </c>
      <c r="AF121">
        <v>0.01</v>
      </c>
      <c r="AG121">
        <v>1</v>
      </c>
      <c r="AH121">
        <v>7.73</v>
      </c>
      <c r="AI121">
        <v>7.73</v>
      </c>
      <c r="AJ121">
        <v>7.73</v>
      </c>
      <c r="AK121">
        <v>0.09</v>
      </c>
      <c r="AL121">
        <v>0.09</v>
      </c>
      <c r="AM121">
        <v>0.09</v>
      </c>
      <c r="AN121">
        <v>0</v>
      </c>
      <c r="AO121">
        <v>0</v>
      </c>
      <c r="AP121">
        <v>0</v>
      </c>
      <c r="AQ121">
        <v>156.88113129999999</v>
      </c>
      <c r="AR121">
        <v>0</v>
      </c>
      <c r="AS121">
        <v>120</v>
      </c>
      <c r="AT121">
        <v>1</v>
      </c>
      <c r="AU121">
        <v>120</v>
      </c>
      <c r="AV121">
        <v>6</v>
      </c>
      <c r="AW121" t="s">
        <v>781</v>
      </c>
      <c r="AX121" t="s">
        <v>158</v>
      </c>
      <c r="AY121" t="s">
        <v>501</v>
      </c>
      <c r="AZ121">
        <v>1675</v>
      </c>
      <c r="BA121" t="s">
        <v>509</v>
      </c>
      <c r="BB121">
        <v>911</v>
      </c>
      <c r="BC121" t="s">
        <v>782</v>
      </c>
      <c r="BD121">
        <v>1950</v>
      </c>
      <c r="BE121">
        <v>0</v>
      </c>
      <c r="BF121">
        <v>156.8810129</v>
      </c>
    </row>
    <row r="122" spans="1:58" x14ac:dyDescent="0.2">
      <c r="A122">
        <v>121</v>
      </c>
      <c r="B122" t="s">
        <v>169</v>
      </c>
      <c r="C122">
        <v>0</v>
      </c>
      <c r="H122" t="s">
        <v>169</v>
      </c>
      <c r="I122" t="s">
        <v>158</v>
      </c>
      <c r="Q122" t="s">
        <v>169</v>
      </c>
      <c r="R122">
        <v>450.31872179999999</v>
      </c>
      <c r="S122">
        <v>6</v>
      </c>
      <c r="T122">
        <v>130</v>
      </c>
      <c r="V122">
        <v>0</v>
      </c>
      <c r="W122">
        <v>0</v>
      </c>
      <c r="X122" t="s">
        <v>169</v>
      </c>
      <c r="Y122">
        <v>-1</v>
      </c>
      <c r="Z122">
        <v>6</v>
      </c>
      <c r="AA122">
        <v>450.32</v>
      </c>
      <c r="AB122">
        <v>130</v>
      </c>
      <c r="AC122">
        <v>8.2899999999999991</v>
      </c>
      <c r="AD122">
        <v>0.09</v>
      </c>
      <c r="AE122">
        <v>0</v>
      </c>
      <c r="AF122">
        <v>0.01</v>
      </c>
      <c r="AG122">
        <v>1</v>
      </c>
      <c r="AH122">
        <v>8.2899999999999991</v>
      </c>
      <c r="AI122">
        <v>8.2899999999999991</v>
      </c>
      <c r="AJ122">
        <v>8.2899999999999991</v>
      </c>
      <c r="AK122">
        <v>0.09</v>
      </c>
      <c r="AL122">
        <v>0.09</v>
      </c>
      <c r="AM122">
        <v>0.09</v>
      </c>
      <c r="AN122">
        <v>0</v>
      </c>
      <c r="AO122">
        <v>0</v>
      </c>
      <c r="AP122">
        <v>0</v>
      </c>
      <c r="AQ122">
        <v>450.31872179999999</v>
      </c>
      <c r="AR122">
        <v>0</v>
      </c>
      <c r="AS122">
        <v>121</v>
      </c>
      <c r="AT122">
        <v>1</v>
      </c>
      <c r="AU122">
        <v>121</v>
      </c>
      <c r="AV122">
        <v>6</v>
      </c>
      <c r="AW122" t="s">
        <v>783</v>
      </c>
      <c r="AX122" t="s">
        <v>158</v>
      </c>
      <c r="AY122" t="s">
        <v>501</v>
      </c>
      <c r="AZ122">
        <v>911</v>
      </c>
      <c r="BA122" t="s">
        <v>782</v>
      </c>
      <c r="BB122">
        <v>1677</v>
      </c>
      <c r="BC122" t="s">
        <v>515</v>
      </c>
      <c r="BD122">
        <v>1950</v>
      </c>
      <c r="BE122">
        <v>0</v>
      </c>
      <c r="BF122">
        <v>450.31882639999998</v>
      </c>
    </row>
    <row r="123" spans="1:58" x14ac:dyDescent="0.2">
      <c r="A123">
        <v>122</v>
      </c>
      <c r="B123" t="s">
        <v>170</v>
      </c>
      <c r="C123">
        <v>0</v>
      </c>
      <c r="H123" t="s">
        <v>170</v>
      </c>
      <c r="I123" t="s">
        <v>158</v>
      </c>
      <c r="Q123" t="s">
        <v>170</v>
      </c>
      <c r="R123">
        <v>526.90020549999997</v>
      </c>
      <c r="S123">
        <v>6</v>
      </c>
      <c r="T123">
        <v>130</v>
      </c>
      <c r="V123">
        <v>0</v>
      </c>
      <c r="W123">
        <v>0</v>
      </c>
      <c r="X123" t="s">
        <v>170</v>
      </c>
      <c r="Y123">
        <v>-1</v>
      </c>
      <c r="Z123">
        <v>6</v>
      </c>
      <c r="AA123">
        <v>526.9</v>
      </c>
      <c r="AB123">
        <v>130</v>
      </c>
      <c r="AC123">
        <v>10.51</v>
      </c>
      <c r="AD123">
        <v>0.12</v>
      </c>
      <c r="AE123">
        <v>0.01</v>
      </c>
      <c r="AF123">
        <v>0.02</v>
      </c>
      <c r="AG123">
        <v>1</v>
      </c>
      <c r="AH123">
        <v>10.51</v>
      </c>
      <c r="AI123">
        <v>10.51</v>
      </c>
      <c r="AJ123">
        <v>10.51</v>
      </c>
      <c r="AK123">
        <v>0.12</v>
      </c>
      <c r="AL123">
        <v>0.12</v>
      </c>
      <c r="AM123">
        <v>0.12</v>
      </c>
      <c r="AN123">
        <v>0.01</v>
      </c>
      <c r="AO123">
        <v>0.01</v>
      </c>
      <c r="AP123">
        <v>0.01</v>
      </c>
      <c r="AQ123">
        <v>526.90020549999997</v>
      </c>
      <c r="AR123">
        <v>0</v>
      </c>
      <c r="AS123">
        <v>122</v>
      </c>
      <c r="AT123">
        <v>1</v>
      </c>
      <c r="AU123">
        <v>122</v>
      </c>
      <c r="AV123">
        <v>6</v>
      </c>
      <c r="AW123" t="s">
        <v>519</v>
      </c>
      <c r="AX123" t="s">
        <v>45</v>
      </c>
      <c r="AY123" t="s">
        <v>501</v>
      </c>
      <c r="AZ123">
        <v>1511</v>
      </c>
      <c r="BA123" t="s">
        <v>520</v>
      </c>
      <c r="BB123">
        <v>1679</v>
      </c>
      <c r="BC123" t="s">
        <v>521</v>
      </c>
      <c r="BD123">
        <v>1930</v>
      </c>
      <c r="BE123">
        <v>0</v>
      </c>
      <c r="BF123">
        <v>29.685964120000001</v>
      </c>
    </row>
    <row r="124" spans="1:58" x14ac:dyDescent="0.2">
      <c r="A124">
        <v>123</v>
      </c>
      <c r="B124" t="s">
        <v>171</v>
      </c>
      <c r="C124">
        <v>0</v>
      </c>
      <c r="H124" t="s">
        <v>171</v>
      </c>
      <c r="I124" t="s">
        <v>158</v>
      </c>
      <c r="Q124" t="s">
        <v>171</v>
      </c>
      <c r="R124">
        <v>516.18830720000005</v>
      </c>
      <c r="S124">
        <v>6</v>
      </c>
      <c r="T124">
        <v>130</v>
      </c>
      <c r="V124">
        <v>0</v>
      </c>
      <c r="W124">
        <v>0</v>
      </c>
      <c r="X124" t="s">
        <v>171</v>
      </c>
      <c r="Y124">
        <v>-1</v>
      </c>
      <c r="Z124">
        <v>6</v>
      </c>
      <c r="AA124">
        <v>516.19000000000005</v>
      </c>
      <c r="AB124">
        <v>130</v>
      </c>
      <c r="AC124">
        <v>11.34</v>
      </c>
      <c r="AD124">
        <v>0.13</v>
      </c>
      <c r="AE124">
        <v>0.01</v>
      </c>
      <c r="AF124">
        <v>0.02</v>
      </c>
      <c r="AG124">
        <v>1</v>
      </c>
      <c r="AH124">
        <v>11.34</v>
      </c>
      <c r="AI124">
        <v>11.34</v>
      </c>
      <c r="AJ124">
        <v>11.34</v>
      </c>
      <c r="AK124">
        <v>0.13</v>
      </c>
      <c r="AL124">
        <v>0.13</v>
      </c>
      <c r="AM124">
        <v>0.13</v>
      </c>
      <c r="AN124">
        <v>0.01</v>
      </c>
      <c r="AO124">
        <v>0.01</v>
      </c>
      <c r="AP124">
        <v>0.01</v>
      </c>
      <c r="AQ124">
        <v>516.18830720000005</v>
      </c>
      <c r="AR124">
        <v>0</v>
      </c>
      <c r="AS124">
        <v>123</v>
      </c>
      <c r="AT124">
        <v>1</v>
      </c>
      <c r="AU124">
        <v>123</v>
      </c>
      <c r="AV124">
        <v>6</v>
      </c>
      <c r="AW124" t="s">
        <v>516</v>
      </c>
      <c r="AX124" t="s">
        <v>45</v>
      </c>
      <c r="AY124" t="s">
        <v>501</v>
      </c>
      <c r="AZ124">
        <v>1510</v>
      </c>
      <c r="BA124" t="s">
        <v>517</v>
      </c>
      <c r="BB124">
        <v>1678</v>
      </c>
      <c r="BC124" t="s">
        <v>518</v>
      </c>
      <c r="BD124">
        <v>1930</v>
      </c>
      <c r="BE124">
        <v>0</v>
      </c>
      <c r="BF124">
        <v>28.800282419999998</v>
      </c>
    </row>
    <row r="125" spans="1:58" x14ac:dyDescent="0.2">
      <c r="A125">
        <v>124</v>
      </c>
      <c r="B125" t="s">
        <v>172</v>
      </c>
      <c r="C125">
        <v>0</v>
      </c>
      <c r="H125" t="s">
        <v>172</v>
      </c>
      <c r="I125" t="s">
        <v>158</v>
      </c>
      <c r="Q125" t="s">
        <v>172</v>
      </c>
      <c r="R125">
        <v>342.58339969999997</v>
      </c>
      <c r="S125">
        <v>6</v>
      </c>
      <c r="T125">
        <v>130</v>
      </c>
      <c r="V125">
        <v>0</v>
      </c>
      <c r="W125">
        <v>0</v>
      </c>
      <c r="X125" t="s">
        <v>172</v>
      </c>
      <c r="Y125">
        <v>-1</v>
      </c>
      <c r="Z125">
        <v>6</v>
      </c>
      <c r="AA125">
        <v>342.58</v>
      </c>
      <c r="AB125">
        <v>130</v>
      </c>
      <c r="AC125">
        <v>12.59</v>
      </c>
      <c r="AD125">
        <v>0.14000000000000001</v>
      </c>
      <c r="AE125">
        <v>0.01</v>
      </c>
      <c r="AF125">
        <v>0.02</v>
      </c>
      <c r="AG125">
        <v>1</v>
      </c>
      <c r="AH125">
        <v>12.59</v>
      </c>
      <c r="AI125">
        <v>12.59</v>
      </c>
      <c r="AJ125">
        <v>12.59</v>
      </c>
      <c r="AK125">
        <v>0.14000000000000001</v>
      </c>
      <c r="AL125">
        <v>0.14000000000000001</v>
      </c>
      <c r="AM125">
        <v>0.14000000000000001</v>
      </c>
      <c r="AN125">
        <v>0.01</v>
      </c>
      <c r="AO125">
        <v>0.01</v>
      </c>
      <c r="AP125">
        <v>0.01</v>
      </c>
      <c r="AQ125">
        <v>342.58339969999997</v>
      </c>
      <c r="AR125">
        <v>0</v>
      </c>
      <c r="AS125">
        <v>124</v>
      </c>
      <c r="AT125">
        <v>1</v>
      </c>
      <c r="AU125">
        <v>124</v>
      </c>
      <c r="AV125">
        <v>6</v>
      </c>
      <c r="AW125" t="s">
        <v>784</v>
      </c>
      <c r="AX125" t="s">
        <v>158</v>
      </c>
      <c r="AY125" t="s">
        <v>501</v>
      </c>
      <c r="AZ125">
        <v>1678</v>
      </c>
      <c r="BA125" t="s">
        <v>518</v>
      </c>
      <c r="BB125">
        <v>1005</v>
      </c>
      <c r="BC125" t="s">
        <v>785</v>
      </c>
      <c r="BD125">
        <v>1950</v>
      </c>
      <c r="BE125">
        <v>0</v>
      </c>
      <c r="BF125">
        <v>342.5835356</v>
      </c>
    </row>
    <row r="126" spans="1:58" x14ac:dyDescent="0.2">
      <c r="A126">
        <v>125</v>
      </c>
      <c r="B126" t="s">
        <v>173</v>
      </c>
      <c r="C126">
        <v>0</v>
      </c>
      <c r="H126" t="s">
        <v>173</v>
      </c>
      <c r="I126" t="s">
        <v>158</v>
      </c>
      <c r="Q126" t="s">
        <v>173</v>
      </c>
      <c r="R126">
        <v>41.49223507</v>
      </c>
      <c r="S126">
        <v>6</v>
      </c>
      <c r="T126">
        <v>130</v>
      </c>
      <c r="V126">
        <v>0</v>
      </c>
      <c r="W126">
        <v>0</v>
      </c>
      <c r="X126" t="s">
        <v>173</v>
      </c>
      <c r="Y126">
        <v>1</v>
      </c>
      <c r="Z126">
        <v>6</v>
      </c>
      <c r="AA126">
        <v>41.49</v>
      </c>
      <c r="AB126">
        <v>130</v>
      </c>
      <c r="AC126">
        <v>5.28</v>
      </c>
      <c r="AD126">
        <v>0.06</v>
      </c>
      <c r="AE126">
        <v>0</v>
      </c>
      <c r="AF126">
        <v>0</v>
      </c>
      <c r="AG126">
        <v>1</v>
      </c>
      <c r="AH126">
        <v>5.28</v>
      </c>
      <c r="AI126">
        <v>5.28</v>
      </c>
      <c r="AJ126">
        <v>5.28</v>
      </c>
      <c r="AK126">
        <v>0.06</v>
      </c>
      <c r="AL126">
        <v>0.06</v>
      </c>
      <c r="AM126">
        <v>0.06</v>
      </c>
      <c r="AN126">
        <v>0</v>
      </c>
      <c r="AO126">
        <v>0</v>
      </c>
      <c r="AP126">
        <v>0</v>
      </c>
      <c r="AQ126">
        <v>41.49223507</v>
      </c>
      <c r="AR126">
        <v>0</v>
      </c>
      <c r="AS126">
        <v>125</v>
      </c>
      <c r="AT126">
        <v>1</v>
      </c>
      <c r="AU126">
        <v>125</v>
      </c>
      <c r="AV126">
        <v>6</v>
      </c>
      <c r="AW126" t="s">
        <v>784</v>
      </c>
      <c r="AX126" t="s">
        <v>158</v>
      </c>
      <c r="AY126" t="s">
        <v>501</v>
      </c>
      <c r="AZ126">
        <v>1678</v>
      </c>
      <c r="BA126" t="s">
        <v>518</v>
      </c>
      <c r="BB126">
        <v>1005</v>
      </c>
      <c r="BC126" t="s">
        <v>785</v>
      </c>
      <c r="BD126">
        <v>1950</v>
      </c>
      <c r="BE126">
        <v>0</v>
      </c>
      <c r="BF126">
        <v>342.5835356</v>
      </c>
    </row>
    <row r="127" spans="1:58" x14ac:dyDescent="0.2">
      <c r="A127">
        <v>126</v>
      </c>
      <c r="B127" t="s">
        <v>174</v>
      </c>
      <c r="C127">
        <v>0</v>
      </c>
      <c r="H127" t="s">
        <v>174</v>
      </c>
      <c r="I127" t="s">
        <v>158</v>
      </c>
      <c r="Q127" t="s">
        <v>174</v>
      </c>
      <c r="R127">
        <v>476.6290482</v>
      </c>
      <c r="S127">
        <v>6</v>
      </c>
      <c r="T127">
        <v>130</v>
      </c>
      <c r="V127">
        <v>0</v>
      </c>
      <c r="W127">
        <v>0</v>
      </c>
      <c r="X127" t="s">
        <v>174</v>
      </c>
      <c r="Y127">
        <v>1</v>
      </c>
      <c r="Z127">
        <v>6</v>
      </c>
      <c r="AA127">
        <v>476.63</v>
      </c>
      <c r="AB127">
        <v>130</v>
      </c>
      <c r="AC127">
        <v>5.28</v>
      </c>
      <c r="AD127">
        <v>0.06</v>
      </c>
      <c r="AE127">
        <v>0</v>
      </c>
      <c r="AF127">
        <v>0</v>
      </c>
      <c r="AG127">
        <v>1</v>
      </c>
      <c r="AH127">
        <v>5.28</v>
      </c>
      <c r="AI127">
        <v>5.28</v>
      </c>
      <c r="AJ127">
        <v>5.28</v>
      </c>
      <c r="AK127">
        <v>0.06</v>
      </c>
      <c r="AL127">
        <v>0.06</v>
      </c>
      <c r="AM127">
        <v>0.06</v>
      </c>
      <c r="AN127">
        <v>0</v>
      </c>
      <c r="AO127">
        <v>0</v>
      </c>
      <c r="AP127">
        <v>0</v>
      </c>
      <c r="AQ127">
        <v>476.6290482</v>
      </c>
      <c r="AR127">
        <v>0</v>
      </c>
      <c r="AS127">
        <v>126</v>
      </c>
      <c r="AT127">
        <v>1</v>
      </c>
      <c r="AU127">
        <v>126</v>
      </c>
      <c r="AV127">
        <v>6</v>
      </c>
      <c r="AW127" t="s">
        <v>786</v>
      </c>
      <c r="AX127" t="s">
        <v>158</v>
      </c>
      <c r="AY127" t="s">
        <v>501</v>
      </c>
      <c r="AZ127">
        <v>1005</v>
      </c>
      <c r="BA127" t="s">
        <v>785</v>
      </c>
      <c r="BB127">
        <v>977</v>
      </c>
      <c r="BC127" t="s">
        <v>575</v>
      </c>
      <c r="BD127">
        <v>1950</v>
      </c>
      <c r="BE127">
        <v>0</v>
      </c>
      <c r="BF127">
        <v>518.12153439999997</v>
      </c>
    </row>
    <row r="128" spans="1:58" x14ac:dyDescent="0.2">
      <c r="A128">
        <v>127</v>
      </c>
      <c r="B128" t="s">
        <v>175</v>
      </c>
      <c r="C128">
        <v>0</v>
      </c>
      <c r="H128" t="s">
        <v>175</v>
      </c>
      <c r="I128" t="s">
        <v>158</v>
      </c>
      <c r="Q128" t="s">
        <v>175</v>
      </c>
      <c r="R128">
        <v>390.25281289999998</v>
      </c>
      <c r="S128">
        <v>6</v>
      </c>
      <c r="T128">
        <v>130</v>
      </c>
      <c r="V128">
        <v>0</v>
      </c>
      <c r="W128">
        <v>0</v>
      </c>
      <c r="X128" t="s">
        <v>175</v>
      </c>
      <c r="Y128">
        <v>1</v>
      </c>
      <c r="Z128">
        <v>6</v>
      </c>
      <c r="AA128">
        <v>390.25</v>
      </c>
      <c r="AB128">
        <v>130</v>
      </c>
      <c r="AC128">
        <v>2.09</v>
      </c>
      <c r="AD128">
        <v>0.02</v>
      </c>
      <c r="AE128">
        <v>0</v>
      </c>
      <c r="AF128">
        <v>0</v>
      </c>
      <c r="AG128">
        <v>1</v>
      </c>
      <c r="AH128">
        <v>2.09</v>
      </c>
      <c r="AI128">
        <v>2.09</v>
      </c>
      <c r="AJ128">
        <v>2.09</v>
      </c>
      <c r="AK128">
        <v>0.02</v>
      </c>
      <c r="AL128">
        <v>0.02</v>
      </c>
      <c r="AM128">
        <v>0.02</v>
      </c>
      <c r="AN128">
        <v>0</v>
      </c>
      <c r="AO128">
        <v>0</v>
      </c>
      <c r="AP128">
        <v>0</v>
      </c>
      <c r="AQ128">
        <v>390.25281289999998</v>
      </c>
      <c r="AR128">
        <v>0</v>
      </c>
      <c r="AS128">
        <v>127</v>
      </c>
      <c r="AT128">
        <v>1</v>
      </c>
      <c r="AU128">
        <v>127</v>
      </c>
      <c r="AV128">
        <v>6</v>
      </c>
      <c r="AW128" t="s">
        <v>573</v>
      </c>
      <c r="AX128" t="s">
        <v>45</v>
      </c>
      <c r="AY128" t="s">
        <v>501</v>
      </c>
      <c r="AZ128">
        <v>1530</v>
      </c>
      <c r="BA128" t="s">
        <v>574</v>
      </c>
      <c r="BB128">
        <v>977</v>
      </c>
      <c r="BC128" t="s">
        <v>575</v>
      </c>
      <c r="BD128">
        <v>1930</v>
      </c>
      <c r="BE128">
        <v>0</v>
      </c>
      <c r="BF128">
        <v>66.744518790000001</v>
      </c>
    </row>
    <row r="129" spans="1:58" x14ac:dyDescent="0.2">
      <c r="A129">
        <v>128</v>
      </c>
      <c r="B129" t="s">
        <v>176</v>
      </c>
      <c r="C129">
        <v>0</v>
      </c>
      <c r="H129" t="s">
        <v>176</v>
      </c>
      <c r="I129" t="s">
        <v>158</v>
      </c>
      <c r="Q129" t="s">
        <v>176</v>
      </c>
      <c r="R129">
        <v>26.67392697</v>
      </c>
      <c r="S129">
        <v>6</v>
      </c>
      <c r="T129">
        <v>130</v>
      </c>
      <c r="V129">
        <v>0</v>
      </c>
      <c r="W129">
        <v>0</v>
      </c>
      <c r="X129" t="s">
        <v>176</v>
      </c>
      <c r="Y129">
        <v>1</v>
      </c>
      <c r="Z129">
        <v>6</v>
      </c>
      <c r="AA129">
        <v>26.67</v>
      </c>
      <c r="AB129">
        <v>130</v>
      </c>
      <c r="AC129">
        <v>1.39</v>
      </c>
      <c r="AD129">
        <v>0.02</v>
      </c>
      <c r="AE129">
        <v>0</v>
      </c>
      <c r="AF129">
        <v>0</v>
      </c>
      <c r="AG129">
        <v>1</v>
      </c>
      <c r="AH129">
        <v>1.39</v>
      </c>
      <c r="AI129">
        <v>1.39</v>
      </c>
      <c r="AJ129">
        <v>1.39</v>
      </c>
      <c r="AK129">
        <v>0.02</v>
      </c>
      <c r="AL129">
        <v>0.02</v>
      </c>
      <c r="AM129">
        <v>0.02</v>
      </c>
      <c r="AN129">
        <v>0</v>
      </c>
      <c r="AO129">
        <v>0</v>
      </c>
      <c r="AP129">
        <v>0</v>
      </c>
      <c r="AQ129">
        <v>26.67392697</v>
      </c>
      <c r="AR129">
        <v>0</v>
      </c>
      <c r="AS129">
        <v>128</v>
      </c>
      <c r="AT129">
        <v>1</v>
      </c>
      <c r="AU129">
        <v>128</v>
      </c>
      <c r="AV129">
        <v>6</v>
      </c>
      <c r="AW129" t="s">
        <v>787</v>
      </c>
      <c r="AX129" t="s">
        <v>158</v>
      </c>
      <c r="AY129" t="s">
        <v>501</v>
      </c>
      <c r="AZ129">
        <v>1693</v>
      </c>
      <c r="BA129" t="s">
        <v>578</v>
      </c>
      <c r="BB129">
        <v>893</v>
      </c>
      <c r="BC129" t="s">
        <v>759</v>
      </c>
      <c r="BD129">
        <v>1950</v>
      </c>
      <c r="BE129">
        <v>0</v>
      </c>
      <c r="BF129">
        <v>641.33282919999999</v>
      </c>
    </row>
    <row r="130" spans="1:58" x14ac:dyDescent="0.2">
      <c r="A130">
        <v>129</v>
      </c>
      <c r="B130" t="s">
        <v>177</v>
      </c>
      <c r="C130">
        <v>0</v>
      </c>
      <c r="H130" t="s">
        <v>177</v>
      </c>
      <c r="Q130" t="s">
        <v>177</v>
      </c>
      <c r="R130">
        <v>641</v>
      </c>
      <c r="S130">
        <v>6</v>
      </c>
      <c r="T130">
        <v>130</v>
      </c>
      <c r="U130">
        <v>0</v>
      </c>
      <c r="V130">
        <v>0</v>
      </c>
      <c r="W130">
        <v>0</v>
      </c>
      <c r="X130" t="s">
        <v>177</v>
      </c>
      <c r="Y130">
        <v>1</v>
      </c>
      <c r="Z130">
        <v>6</v>
      </c>
      <c r="AA130">
        <v>641</v>
      </c>
      <c r="AB130">
        <v>130</v>
      </c>
      <c r="AC130">
        <v>1.39</v>
      </c>
      <c r="AD130">
        <v>0.02</v>
      </c>
      <c r="AE130">
        <v>0</v>
      </c>
      <c r="AF130">
        <v>0</v>
      </c>
      <c r="AG130">
        <v>1</v>
      </c>
      <c r="AH130">
        <v>1.39</v>
      </c>
      <c r="AI130">
        <v>1.39</v>
      </c>
      <c r="AJ130">
        <v>1.39</v>
      </c>
      <c r="AK130">
        <v>0.02</v>
      </c>
      <c r="AL130">
        <v>0.02</v>
      </c>
      <c r="AM130">
        <v>0.02</v>
      </c>
      <c r="AN130">
        <v>0</v>
      </c>
      <c r="AO130">
        <v>0</v>
      </c>
      <c r="AP130">
        <v>0</v>
      </c>
      <c r="AQ130">
        <v>614.08345359999998</v>
      </c>
      <c r="AR130">
        <v>0</v>
      </c>
      <c r="AS130">
        <v>129</v>
      </c>
      <c r="AT130">
        <v>1</v>
      </c>
      <c r="AU130">
        <v>129</v>
      </c>
      <c r="AV130">
        <v>6</v>
      </c>
      <c r="AW130" t="s">
        <v>787</v>
      </c>
      <c r="AX130" t="s">
        <v>158</v>
      </c>
      <c r="AY130" t="s">
        <v>501</v>
      </c>
      <c r="AZ130">
        <v>1693</v>
      </c>
      <c r="BA130" t="s">
        <v>578</v>
      </c>
      <c r="BB130">
        <v>893</v>
      </c>
      <c r="BC130" t="s">
        <v>759</v>
      </c>
      <c r="BD130">
        <v>1950</v>
      </c>
      <c r="BE130">
        <v>0</v>
      </c>
      <c r="BF130">
        <v>641.33282919999999</v>
      </c>
    </row>
    <row r="131" spans="1:58" x14ac:dyDescent="0.2">
      <c r="A131">
        <v>130</v>
      </c>
      <c r="B131" t="s">
        <v>178</v>
      </c>
      <c r="C131">
        <v>0</v>
      </c>
      <c r="H131" t="s">
        <v>178</v>
      </c>
      <c r="I131" t="s">
        <v>158</v>
      </c>
      <c r="Q131" t="s">
        <v>178</v>
      </c>
      <c r="R131">
        <v>378.2652544</v>
      </c>
      <c r="S131">
        <v>6</v>
      </c>
      <c r="T131">
        <v>130</v>
      </c>
      <c r="V131">
        <v>0</v>
      </c>
      <c r="W131">
        <v>0</v>
      </c>
      <c r="X131" t="s">
        <v>178</v>
      </c>
      <c r="Y131">
        <v>1</v>
      </c>
      <c r="Z131">
        <v>6</v>
      </c>
      <c r="AA131">
        <v>378.27</v>
      </c>
      <c r="AB131">
        <v>130</v>
      </c>
      <c r="AC131">
        <v>1.39</v>
      </c>
      <c r="AD131">
        <v>0.02</v>
      </c>
      <c r="AE131">
        <v>0</v>
      </c>
      <c r="AF131">
        <v>0</v>
      </c>
      <c r="AG131">
        <v>1</v>
      </c>
      <c r="AH131">
        <v>1.39</v>
      </c>
      <c r="AI131">
        <v>1.39</v>
      </c>
      <c r="AJ131">
        <v>1.39</v>
      </c>
      <c r="AK131">
        <v>0.02</v>
      </c>
      <c r="AL131">
        <v>0.02</v>
      </c>
      <c r="AM131">
        <v>0.02</v>
      </c>
      <c r="AN131">
        <v>0</v>
      </c>
      <c r="AO131">
        <v>0</v>
      </c>
      <c r="AP131">
        <v>0</v>
      </c>
      <c r="AQ131">
        <v>378.2652544</v>
      </c>
      <c r="AR131">
        <v>0</v>
      </c>
      <c r="AS131">
        <v>130</v>
      </c>
      <c r="AT131">
        <v>1</v>
      </c>
      <c r="AU131">
        <v>130</v>
      </c>
      <c r="AV131">
        <v>6</v>
      </c>
      <c r="AW131" t="s">
        <v>579</v>
      </c>
      <c r="AX131" t="s">
        <v>45</v>
      </c>
      <c r="AY131" t="s">
        <v>501</v>
      </c>
      <c r="AZ131">
        <v>1532</v>
      </c>
      <c r="BA131" t="s">
        <v>580</v>
      </c>
      <c r="BB131">
        <v>894</v>
      </c>
      <c r="BC131" t="s">
        <v>581</v>
      </c>
      <c r="BD131">
        <v>1930</v>
      </c>
      <c r="BE131">
        <v>0</v>
      </c>
      <c r="BF131">
        <v>56.958055080000001</v>
      </c>
    </row>
    <row r="132" spans="1:58" x14ac:dyDescent="0.2">
      <c r="A132">
        <v>131</v>
      </c>
      <c r="B132" t="s">
        <v>179</v>
      </c>
      <c r="C132">
        <v>0</v>
      </c>
      <c r="H132" t="s">
        <v>179</v>
      </c>
      <c r="I132" t="s">
        <v>148</v>
      </c>
      <c r="Q132" t="s">
        <v>179</v>
      </c>
      <c r="R132">
        <v>22.167174540000001</v>
      </c>
      <c r="S132">
        <v>6</v>
      </c>
      <c r="T132">
        <v>130</v>
      </c>
      <c r="V132">
        <v>0</v>
      </c>
      <c r="W132">
        <v>0</v>
      </c>
      <c r="X132" t="s">
        <v>179</v>
      </c>
      <c r="Y132">
        <v>-1</v>
      </c>
      <c r="Z132">
        <v>6</v>
      </c>
      <c r="AA132">
        <v>22.17</v>
      </c>
      <c r="AB132">
        <v>130</v>
      </c>
      <c r="AC132">
        <v>18.010000000000002</v>
      </c>
      <c r="AD132">
        <v>0.2</v>
      </c>
      <c r="AE132">
        <v>0</v>
      </c>
      <c r="AF132">
        <v>0.04</v>
      </c>
      <c r="AG132">
        <v>1</v>
      </c>
      <c r="AH132">
        <v>18.010000000000002</v>
      </c>
      <c r="AI132">
        <v>18.010000000000002</v>
      </c>
      <c r="AJ132">
        <v>18.010000000000002</v>
      </c>
      <c r="AK132">
        <v>0.2</v>
      </c>
      <c r="AL132">
        <v>0.2</v>
      </c>
      <c r="AM132">
        <v>0.2</v>
      </c>
      <c r="AN132">
        <v>0</v>
      </c>
      <c r="AO132">
        <v>0</v>
      </c>
      <c r="AP132">
        <v>0</v>
      </c>
      <c r="AQ132">
        <v>22.167174540000001</v>
      </c>
      <c r="AR132">
        <v>0</v>
      </c>
      <c r="AS132">
        <v>131</v>
      </c>
      <c r="AT132">
        <v>1</v>
      </c>
      <c r="AU132">
        <v>131</v>
      </c>
      <c r="AV132">
        <v>6</v>
      </c>
      <c r="AW132" t="s">
        <v>567</v>
      </c>
      <c r="AX132" t="s">
        <v>45</v>
      </c>
      <c r="AY132" t="s">
        <v>501</v>
      </c>
      <c r="AZ132">
        <v>1528</v>
      </c>
      <c r="BA132" t="s">
        <v>568</v>
      </c>
      <c r="BB132">
        <v>1692</v>
      </c>
      <c r="BC132" t="s">
        <v>569</v>
      </c>
      <c r="BD132">
        <v>1930</v>
      </c>
      <c r="BE132">
        <v>0</v>
      </c>
      <c r="BF132">
        <v>13.7492447</v>
      </c>
    </row>
    <row r="133" spans="1:58" x14ac:dyDescent="0.2">
      <c r="A133">
        <v>132</v>
      </c>
      <c r="B133" t="s">
        <v>180</v>
      </c>
      <c r="C133">
        <v>0</v>
      </c>
      <c r="H133" t="s">
        <v>180</v>
      </c>
      <c r="I133" t="s">
        <v>148</v>
      </c>
      <c r="Q133" t="s">
        <v>180</v>
      </c>
      <c r="R133">
        <v>287.34180609999999</v>
      </c>
      <c r="S133">
        <v>6</v>
      </c>
      <c r="T133">
        <v>130</v>
      </c>
      <c r="V133">
        <v>0</v>
      </c>
      <c r="W133">
        <v>0</v>
      </c>
      <c r="X133" t="s">
        <v>180</v>
      </c>
      <c r="Y133">
        <v>-1</v>
      </c>
      <c r="Z133">
        <v>6</v>
      </c>
      <c r="AA133">
        <v>287.33999999999997</v>
      </c>
      <c r="AB133">
        <v>130</v>
      </c>
      <c r="AC133">
        <v>18.29</v>
      </c>
      <c r="AD133">
        <v>0.21</v>
      </c>
      <c r="AE133">
        <v>0.01</v>
      </c>
      <c r="AF133">
        <v>0.04</v>
      </c>
      <c r="AG133">
        <v>1</v>
      </c>
      <c r="AH133">
        <v>18.29</v>
      </c>
      <c r="AI133">
        <v>18.29</v>
      </c>
      <c r="AJ133">
        <v>18.29</v>
      </c>
      <c r="AK133">
        <v>0.21</v>
      </c>
      <c r="AL133">
        <v>0.21</v>
      </c>
      <c r="AM133">
        <v>0.21</v>
      </c>
      <c r="AN133">
        <v>0.01</v>
      </c>
      <c r="AO133">
        <v>0.01</v>
      </c>
      <c r="AP133">
        <v>0.01</v>
      </c>
      <c r="AQ133">
        <v>287.34180609999999</v>
      </c>
      <c r="AR133">
        <v>0</v>
      </c>
      <c r="AS133">
        <v>132</v>
      </c>
      <c r="AT133">
        <v>1</v>
      </c>
      <c r="AU133">
        <v>132</v>
      </c>
      <c r="AV133">
        <v>6</v>
      </c>
      <c r="AW133" t="s">
        <v>564</v>
      </c>
      <c r="AX133" t="s">
        <v>45</v>
      </c>
      <c r="AY133" t="s">
        <v>501</v>
      </c>
      <c r="AZ133">
        <v>1527</v>
      </c>
      <c r="BA133" t="s">
        <v>565</v>
      </c>
      <c r="BB133">
        <v>1691</v>
      </c>
      <c r="BC133" t="s">
        <v>566</v>
      </c>
      <c r="BD133">
        <v>1930</v>
      </c>
      <c r="BE133">
        <v>0</v>
      </c>
      <c r="BF133">
        <v>13.38831188</v>
      </c>
    </row>
    <row r="134" spans="1:58" x14ac:dyDescent="0.2">
      <c r="A134">
        <v>133</v>
      </c>
      <c r="B134" t="s">
        <v>181</v>
      </c>
      <c r="C134">
        <v>0</v>
      </c>
      <c r="H134" t="s">
        <v>181</v>
      </c>
      <c r="I134" t="s">
        <v>148</v>
      </c>
      <c r="Q134" t="s">
        <v>181</v>
      </c>
      <c r="R134">
        <v>87.760714019999995</v>
      </c>
      <c r="S134">
        <v>6</v>
      </c>
      <c r="T134">
        <v>130</v>
      </c>
      <c r="V134">
        <v>0</v>
      </c>
      <c r="W134">
        <v>0</v>
      </c>
      <c r="X134" t="s">
        <v>181</v>
      </c>
      <c r="Y134">
        <v>-1</v>
      </c>
      <c r="Z134">
        <v>6</v>
      </c>
      <c r="AA134">
        <v>87.76</v>
      </c>
      <c r="AB134">
        <v>130</v>
      </c>
      <c r="AC134">
        <v>18.57</v>
      </c>
      <c r="AD134">
        <v>0.21</v>
      </c>
      <c r="AE134">
        <v>0</v>
      </c>
      <c r="AF134">
        <v>0.05</v>
      </c>
      <c r="AG134">
        <v>1</v>
      </c>
      <c r="AH134">
        <v>18.57</v>
      </c>
      <c r="AI134">
        <v>18.57</v>
      </c>
      <c r="AJ134">
        <v>18.57</v>
      </c>
      <c r="AK134">
        <v>0.21</v>
      </c>
      <c r="AL134">
        <v>0.21</v>
      </c>
      <c r="AM134">
        <v>0.21</v>
      </c>
      <c r="AN134">
        <v>0</v>
      </c>
      <c r="AO134">
        <v>0</v>
      </c>
      <c r="AP134">
        <v>0</v>
      </c>
      <c r="AQ134">
        <v>87.760714019999995</v>
      </c>
      <c r="AR134">
        <v>0</v>
      </c>
      <c r="AS134">
        <v>133</v>
      </c>
      <c r="AT134">
        <v>1</v>
      </c>
      <c r="AU134">
        <v>133</v>
      </c>
      <c r="AV134">
        <v>6</v>
      </c>
      <c r="AW134" t="s">
        <v>773</v>
      </c>
      <c r="AX134" t="s">
        <v>45</v>
      </c>
      <c r="AY134" t="s">
        <v>501</v>
      </c>
      <c r="AZ134">
        <v>840</v>
      </c>
      <c r="BA134" t="s">
        <v>774</v>
      </c>
      <c r="BB134">
        <v>841</v>
      </c>
      <c r="BC134" t="s">
        <v>775</v>
      </c>
      <c r="BD134">
        <v>1930</v>
      </c>
      <c r="BE134">
        <v>0</v>
      </c>
      <c r="BF134">
        <v>84.748865899999998</v>
      </c>
    </row>
    <row r="135" spans="1:58" x14ac:dyDescent="0.2">
      <c r="A135">
        <v>134</v>
      </c>
      <c r="B135" t="s">
        <v>182</v>
      </c>
      <c r="C135">
        <v>0</v>
      </c>
      <c r="H135" t="s">
        <v>182</v>
      </c>
      <c r="I135" t="s">
        <v>148</v>
      </c>
      <c r="Q135" t="s">
        <v>182</v>
      </c>
      <c r="R135">
        <v>50.64131166</v>
      </c>
      <c r="S135">
        <v>6</v>
      </c>
      <c r="T135">
        <v>130</v>
      </c>
      <c r="V135">
        <v>0</v>
      </c>
      <c r="W135">
        <v>0</v>
      </c>
      <c r="X135" t="s">
        <v>182</v>
      </c>
      <c r="Y135">
        <v>-1</v>
      </c>
      <c r="Z135">
        <v>6</v>
      </c>
      <c r="AA135">
        <v>50.64</v>
      </c>
      <c r="AB135">
        <v>130</v>
      </c>
      <c r="AC135">
        <v>19.260000000000002</v>
      </c>
      <c r="AD135">
        <v>0.22</v>
      </c>
      <c r="AE135">
        <v>0</v>
      </c>
      <c r="AF135">
        <v>0.05</v>
      </c>
      <c r="AG135">
        <v>1</v>
      </c>
      <c r="AH135">
        <v>19.260000000000002</v>
      </c>
      <c r="AI135">
        <v>19.260000000000002</v>
      </c>
      <c r="AJ135">
        <v>19.260000000000002</v>
      </c>
      <c r="AK135">
        <v>0.22</v>
      </c>
      <c r="AL135">
        <v>0.22</v>
      </c>
      <c r="AM135">
        <v>0.22</v>
      </c>
      <c r="AN135">
        <v>0</v>
      </c>
      <c r="AO135">
        <v>0</v>
      </c>
      <c r="AP135">
        <v>0</v>
      </c>
      <c r="AQ135">
        <v>50.64131166</v>
      </c>
      <c r="AR135">
        <v>0</v>
      </c>
      <c r="AS135">
        <v>134</v>
      </c>
      <c r="AT135">
        <v>1</v>
      </c>
      <c r="AU135">
        <v>134</v>
      </c>
      <c r="AV135">
        <v>6</v>
      </c>
      <c r="AW135" t="s">
        <v>773</v>
      </c>
      <c r="AX135" t="s">
        <v>45</v>
      </c>
      <c r="AY135" t="s">
        <v>501</v>
      </c>
      <c r="AZ135">
        <v>840</v>
      </c>
      <c r="BA135" t="s">
        <v>774</v>
      </c>
      <c r="BB135">
        <v>841</v>
      </c>
      <c r="BC135" t="s">
        <v>775</v>
      </c>
      <c r="BD135">
        <v>1930</v>
      </c>
      <c r="BE135">
        <v>0</v>
      </c>
      <c r="BF135">
        <v>84.748865899999998</v>
      </c>
    </row>
    <row r="136" spans="1:58" x14ac:dyDescent="0.2">
      <c r="A136">
        <v>135</v>
      </c>
      <c r="B136" t="s">
        <v>183</v>
      </c>
      <c r="C136">
        <v>0</v>
      </c>
      <c r="H136" t="s">
        <v>183</v>
      </c>
      <c r="I136" t="s">
        <v>148</v>
      </c>
      <c r="Q136" t="s">
        <v>183</v>
      </c>
      <c r="R136">
        <v>29.594033899999999</v>
      </c>
      <c r="S136">
        <v>6</v>
      </c>
      <c r="T136">
        <v>130</v>
      </c>
      <c r="V136">
        <v>0</v>
      </c>
      <c r="W136">
        <v>0</v>
      </c>
      <c r="X136" t="s">
        <v>183</v>
      </c>
      <c r="Y136">
        <v>-1</v>
      </c>
      <c r="Z136">
        <v>6</v>
      </c>
      <c r="AA136">
        <v>29.59</v>
      </c>
      <c r="AB136">
        <v>130</v>
      </c>
      <c r="AC136">
        <v>1.39</v>
      </c>
      <c r="AD136">
        <v>0.02</v>
      </c>
      <c r="AE136">
        <v>0</v>
      </c>
      <c r="AF136">
        <v>0</v>
      </c>
      <c r="AG136">
        <v>1</v>
      </c>
      <c r="AH136">
        <v>1.39</v>
      </c>
      <c r="AI136">
        <v>1.39</v>
      </c>
      <c r="AJ136">
        <v>1.39</v>
      </c>
      <c r="AK136">
        <v>0.02</v>
      </c>
      <c r="AL136">
        <v>0.02</v>
      </c>
      <c r="AM136">
        <v>0.02</v>
      </c>
      <c r="AN136">
        <v>0</v>
      </c>
      <c r="AO136">
        <v>0</v>
      </c>
      <c r="AP136">
        <v>0</v>
      </c>
      <c r="AQ136">
        <v>29.594033899999999</v>
      </c>
      <c r="AR136">
        <v>1</v>
      </c>
      <c r="AS136">
        <v>135</v>
      </c>
      <c r="AT136">
        <v>1</v>
      </c>
      <c r="AU136">
        <v>135</v>
      </c>
      <c r="AV136">
        <v>6</v>
      </c>
      <c r="AW136" t="s">
        <v>788</v>
      </c>
      <c r="AX136" t="s">
        <v>148</v>
      </c>
      <c r="AY136" t="s">
        <v>501</v>
      </c>
      <c r="AZ136">
        <v>971</v>
      </c>
      <c r="BA136" t="s">
        <v>595</v>
      </c>
      <c r="BB136">
        <v>955</v>
      </c>
      <c r="BC136" t="s">
        <v>563</v>
      </c>
      <c r="BD136">
        <v>1930</v>
      </c>
      <c r="BE136">
        <v>1</v>
      </c>
      <c r="BF136">
        <v>121.5245267</v>
      </c>
    </row>
    <row r="137" spans="1:58" x14ac:dyDescent="0.2">
      <c r="A137">
        <v>136</v>
      </c>
      <c r="B137" t="s">
        <v>184</v>
      </c>
      <c r="C137">
        <v>0</v>
      </c>
      <c r="H137" t="s">
        <v>184</v>
      </c>
      <c r="I137" t="s">
        <v>148</v>
      </c>
      <c r="Q137" t="s">
        <v>184</v>
      </c>
      <c r="R137">
        <v>91.930452040000006</v>
      </c>
      <c r="S137">
        <v>6</v>
      </c>
      <c r="T137">
        <v>130</v>
      </c>
      <c r="V137">
        <v>0</v>
      </c>
      <c r="W137">
        <v>0</v>
      </c>
      <c r="X137" t="s">
        <v>184</v>
      </c>
      <c r="Y137">
        <v>-1</v>
      </c>
      <c r="Z137">
        <v>6</v>
      </c>
      <c r="AA137">
        <v>91.93</v>
      </c>
      <c r="AB137">
        <v>130</v>
      </c>
      <c r="AC137">
        <v>1.39</v>
      </c>
      <c r="AD137">
        <v>0.02</v>
      </c>
      <c r="AE137">
        <v>0</v>
      </c>
      <c r="AF137">
        <v>0</v>
      </c>
      <c r="AG137">
        <v>1</v>
      </c>
      <c r="AH137">
        <v>1.39</v>
      </c>
      <c r="AI137">
        <v>1.39</v>
      </c>
      <c r="AJ137">
        <v>1.39</v>
      </c>
      <c r="AK137">
        <v>0.02</v>
      </c>
      <c r="AL137">
        <v>0.02</v>
      </c>
      <c r="AM137">
        <v>0.02</v>
      </c>
      <c r="AN137">
        <v>0</v>
      </c>
      <c r="AO137">
        <v>0</v>
      </c>
      <c r="AP137">
        <v>0</v>
      </c>
      <c r="AQ137">
        <v>91.930452029999998</v>
      </c>
      <c r="AR137">
        <v>1</v>
      </c>
      <c r="AS137">
        <v>136</v>
      </c>
      <c r="AT137">
        <v>1</v>
      </c>
      <c r="AU137">
        <v>136</v>
      </c>
      <c r="AV137">
        <v>6</v>
      </c>
      <c r="AW137" t="s">
        <v>779</v>
      </c>
      <c r="AX137" t="s">
        <v>148</v>
      </c>
      <c r="AY137" t="s">
        <v>501</v>
      </c>
      <c r="AZ137">
        <v>1690</v>
      </c>
      <c r="BA137" t="s">
        <v>560</v>
      </c>
      <c r="BB137">
        <v>955</v>
      </c>
      <c r="BC137" t="s">
        <v>563</v>
      </c>
      <c r="BD137">
        <v>1930</v>
      </c>
      <c r="BE137">
        <v>1</v>
      </c>
      <c r="BF137">
        <v>311.94434819999998</v>
      </c>
    </row>
    <row r="138" spans="1:58" x14ac:dyDescent="0.2">
      <c r="A138">
        <v>137</v>
      </c>
      <c r="B138" t="s">
        <v>185</v>
      </c>
      <c r="C138">
        <v>0</v>
      </c>
      <c r="H138" t="s">
        <v>185</v>
      </c>
      <c r="I138" t="s">
        <v>148</v>
      </c>
      <c r="Q138" t="s">
        <v>185</v>
      </c>
      <c r="R138">
        <v>530.42279429999996</v>
      </c>
      <c r="S138">
        <v>6</v>
      </c>
      <c r="T138">
        <v>130</v>
      </c>
      <c r="V138">
        <v>0</v>
      </c>
      <c r="W138">
        <v>0</v>
      </c>
      <c r="X138" t="s">
        <v>185</v>
      </c>
      <c r="Y138">
        <v>-1</v>
      </c>
      <c r="Z138">
        <v>6</v>
      </c>
      <c r="AA138">
        <v>530.41999999999996</v>
      </c>
      <c r="AB138">
        <v>130</v>
      </c>
      <c r="AC138">
        <v>23.66</v>
      </c>
      <c r="AD138">
        <v>0.27</v>
      </c>
      <c r="AE138">
        <v>0.04</v>
      </c>
      <c r="AF138">
        <v>7.0000000000000007E-2</v>
      </c>
      <c r="AG138">
        <v>1</v>
      </c>
      <c r="AH138">
        <v>23.66</v>
      </c>
      <c r="AI138">
        <v>23.66</v>
      </c>
      <c r="AJ138">
        <v>23.66</v>
      </c>
      <c r="AK138">
        <v>0.27</v>
      </c>
      <c r="AL138">
        <v>0.27</v>
      </c>
      <c r="AM138">
        <v>0.27</v>
      </c>
      <c r="AN138">
        <v>0.04</v>
      </c>
      <c r="AO138">
        <v>0.04</v>
      </c>
      <c r="AP138">
        <v>0.04</v>
      </c>
      <c r="AQ138">
        <v>530.42279429999996</v>
      </c>
      <c r="AR138">
        <v>1</v>
      </c>
      <c r="AS138">
        <v>137</v>
      </c>
      <c r="AT138">
        <v>1</v>
      </c>
      <c r="AU138">
        <v>137</v>
      </c>
      <c r="AV138">
        <v>6</v>
      </c>
      <c r="AW138" t="s">
        <v>561</v>
      </c>
      <c r="AX138" t="s">
        <v>45</v>
      </c>
      <c r="AY138" t="s">
        <v>501</v>
      </c>
      <c r="AZ138">
        <v>1526</v>
      </c>
      <c r="BA138" t="s">
        <v>562</v>
      </c>
      <c r="BB138">
        <v>955</v>
      </c>
      <c r="BC138" t="s">
        <v>563</v>
      </c>
      <c r="BD138">
        <v>1930</v>
      </c>
      <c r="BE138">
        <v>0</v>
      </c>
      <c r="BF138">
        <v>10.041727290000001</v>
      </c>
    </row>
    <row r="139" spans="1:58" x14ac:dyDescent="0.2">
      <c r="A139">
        <v>138</v>
      </c>
      <c r="B139" t="s">
        <v>186</v>
      </c>
      <c r="C139">
        <v>0</v>
      </c>
      <c r="H139" t="s">
        <v>186</v>
      </c>
      <c r="I139" t="s">
        <v>148</v>
      </c>
      <c r="Q139" t="s">
        <v>186</v>
      </c>
      <c r="R139">
        <v>32.0622489</v>
      </c>
      <c r="S139">
        <v>6</v>
      </c>
      <c r="T139">
        <v>130</v>
      </c>
      <c r="V139">
        <v>0</v>
      </c>
      <c r="W139">
        <v>0</v>
      </c>
      <c r="X139" t="s">
        <v>186</v>
      </c>
      <c r="Y139">
        <v>1</v>
      </c>
      <c r="Z139">
        <v>6</v>
      </c>
      <c r="AA139">
        <v>32.06</v>
      </c>
      <c r="AB139">
        <v>130</v>
      </c>
      <c r="AC139">
        <v>4.63</v>
      </c>
      <c r="AD139">
        <v>0.05</v>
      </c>
      <c r="AE139">
        <v>0</v>
      </c>
      <c r="AF139">
        <v>0</v>
      </c>
      <c r="AG139">
        <v>1</v>
      </c>
      <c r="AH139">
        <v>4.63</v>
      </c>
      <c r="AI139">
        <v>4.63</v>
      </c>
      <c r="AJ139">
        <v>4.63</v>
      </c>
      <c r="AK139">
        <v>0.05</v>
      </c>
      <c r="AL139">
        <v>0.05</v>
      </c>
      <c r="AM139">
        <v>0.05</v>
      </c>
      <c r="AN139">
        <v>0</v>
      </c>
      <c r="AO139">
        <v>0</v>
      </c>
      <c r="AP139">
        <v>0</v>
      </c>
      <c r="AQ139">
        <v>32.0622489</v>
      </c>
      <c r="AR139">
        <v>0</v>
      </c>
      <c r="AS139">
        <v>138</v>
      </c>
      <c r="AT139">
        <v>1</v>
      </c>
      <c r="AU139">
        <v>138</v>
      </c>
      <c r="AV139">
        <v>6</v>
      </c>
      <c r="AW139" t="s">
        <v>789</v>
      </c>
      <c r="AX139" t="s">
        <v>148</v>
      </c>
      <c r="AY139" t="s">
        <v>501</v>
      </c>
      <c r="AZ139">
        <v>969</v>
      </c>
      <c r="BA139" t="s">
        <v>790</v>
      </c>
      <c r="BB139">
        <v>1697</v>
      </c>
      <c r="BC139" t="s">
        <v>602</v>
      </c>
      <c r="BD139">
        <v>1930</v>
      </c>
      <c r="BE139">
        <v>1</v>
      </c>
      <c r="BF139">
        <v>189.10887550000001</v>
      </c>
    </row>
    <row r="140" spans="1:58" x14ac:dyDescent="0.2">
      <c r="A140">
        <v>139</v>
      </c>
      <c r="B140" t="s">
        <v>187</v>
      </c>
      <c r="C140">
        <v>0</v>
      </c>
      <c r="H140" t="s">
        <v>187</v>
      </c>
      <c r="I140" t="s">
        <v>148</v>
      </c>
      <c r="Q140" t="s">
        <v>187</v>
      </c>
      <c r="R140">
        <v>157.04671640000001</v>
      </c>
      <c r="S140">
        <v>6</v>
      </c>
      <c r="T140">
        <v>130</v>
      </c>
      <c r="V140">
        <v>0</v>
      </c>
      <c r="W140">
        <v>0</v>
      </c>
      <c r="X140" t="s">
        <v>187</v>
      </c>
      <c r="Y140">
        <v>1</v>
      </c>
      <c r="Z140">
        <v>6</v>
      </c>
      <c r="AA140">
        <v>157.05000000000001</v>
      </c>
      <c r="AB140">
        <v>130</v>
      </c>
      <c r="AC140">
        <v>4.63</v>
      </c>
      <c r="AD140">
        <v>0.05</v>
      </c>
      <c r="AE140">
        <v>0</v>
      </c>
      <c r="AF140">
        <v>0</v>
      </c>
      <c r="AG140">
        <v>1</v>
      </c>
      <c r="AH140">
        <v>4.63</v>
      </c>
      <c r="AI140">
        <v>4.63</v>
      </c>
      <c r="AJ140">
        <v>4.63</v>
      </c>
      <c r="AK140">
        <v>0.05</v>
      </c>
      <c r="AL140">
        <v>0.05</v>
      </c>
      <c r="AM140">
        <v>0.05</v>
      </c>
      <c r="AN140">
        <v>0</v>
      </c>
      <c r="AO140">
        <v>0</v>
      </c>
      <c r="AP140">
        <v>0</v>
      </c>
      <c r="AQ140">
        <v>157.04671640000001</v>
      </c>
      <c r="AR140">
        <v>0</v>
      </c>
      <c r="AS140">
        <v>139</v>
      </c>
      <c r="AT140">
        <v>1</v>
      </c>
      <c r="AU140">
        <v>139</v>
      </c>
      <c r="AV140">
        <v>6</v>
      </c>
      <c r="AW140" t="s">
        <v>600</v>
      </c>
      <c r="AX140" t="s">
        <v>45</v>
      </c>
      <c r="AY140" t="s">
        <v>501</v>
      </c>
      <c r="AZ140">
        <v>1539</v>
      </c>
      <c r="BA140" t="s">
        <v>601</v>
      </c>
      <c r="BB140">
        <v>1697</v>
      </c>
      <c r="BC140" t="s">
        <v>602</v>
      </c>
      <c r="BD140">
        <v>1930</v>
      </c>
      <c r="BE140">
        <v>0</v>
      </c>
      <c r="BF140">
        <v>44.955624729999997</v>
      </c>
    </row>
    <row r="141" spans="1:58" x14ac:dyDescent="0.2">
      <c r="A141">
        <v>140</v>
      </c>
      <c r="B141" t="s">
        <v>188</v>
      </c>
      <c r="C141">
        <v>0</v>
      </c>
      <c r="H141" t="s">
        <v>188</v>
      </c>
      <c r="I141" t="s">
        <v>148</v>
      </c>
      <c r="Q141" t="s">
        <v>188</v>
      </c>
      <c r="R141">
        <v>626.91723109999998</v>
      </c>
      <c r="S141">
        <v>6</v>
      </c>
      <c r="T141">
        <v>130</v>
      </c>
      <c r="V141">
        <v>0</v>
      </c>
      <c r="W141">
        <v>0</v>
      </c>
      <c r="X141" t="s">
        <v>188</v>
      </c>
      <c r="Y141">
        <v>1</v>
      </c>
      <c r="Z141">
        <v>6</v>
      </c>
      <c r="AA141">
        <v>626.91999999999996</v>
      </c>
      <c r="AB141">
        <v>130</v>
      </c>
      <c r="AC141">
        <v>2.82</v>
      </c>
      <c r="AD141">
        <v>0.03</v>
      </c>
      <c r="AE141">
        <v>0</v>
      </c>
      <c r="AF141">
        <v>0</v>
      </c>
      <c r="AG141">
        <v>1</v>
      </c>
      <c r="AH141">
        <v>2.82</v>
      </c>
      <c r="AI141">
        <v>2.82</v>
      </c>
      <c r="AJ141">
        <v>2.82</v>
      </c>
      <c r="AK141">
        <v>0.03</v>
      </c>
      <c r="AL141">
        <v>0.03</v>
      </c>
      <c r="AM141">
        <v>0.03</v>
      </c>
      <c r="AN141">
        <v>0</v>
      </c>
      <c r="AO141">
        <v>0</v>
      </c>
      <c r="AP141">
        <v>0</v>
      </c>
      <c r="AQ141">
        <v>626.91723109999998</v>
      </c>
      <c r="AR141">
        <v>0</v>
      </c>
      <c r="AS141">
        <v>140</v>
      </c>
      <c r="AT141">
        <v>1</v>
      </c>
      <c r="AU141">
        <v>140</v>
      </c>
      <c r="AV141">
        <v>6</v>
      </c>
      <c r="AW141" t="s">
        <v>791</v>
      </c>
      <c r="AX141" t="s">
        <v>148</v>
      </c>
      <c r="AY141" t="s">
        <v>501</v>
      </c>
      <c r="AZ141">
        <v>1697</v>
      </c>
      <c r="BA141" t="s">
        <v>602</v>
      </c>
      <c r="BB141">
        <v>843</v>
      </c>
      <c r="BC141" t="s">
        <v>792</v>
      </c>
      <c r="BD141">
        <v>1930</v>
      </c>
      <c r="BE141">
        <v>1</v>
      </c>
      <c r="BF141">
        <v>626.91727279999998</v>
      </c>
    </row>
    <row r="142" spans="1:58" x14ac:dyDescent="0.2">
      <c r="A142">
        <v>141</v>
      </c>
      <c r="B142" t="s">
        <v>189</v>
      </c>
      <c r="C142">
        <v>0</v>
      </c>
      <c r="H142" t="s">
        <v>189</v>
      </c>
      <c r="I142" t="s">
        <v>148</v>
      </c>
      <c r="Q142" t="s">
        <v>189</v>
      </c>
      <c r="R142">
        <v>39.018149430000001</v>
      </c>
      <c r="S142">
        <v>6</v>
      </c>
      <c r="T142">
        <v>130</v>
      </c>
      <c r="V142">
        <v>0</v>
      </c>
      <c r="W142">
        <v>0</v>
      </c>
      <c r="X142" t="s">
        <v>189</v>
      </c>
      <c r="Y142">
        <v>-1</v>
      </c>
      <c r="Z142">
        <v>6</v>
      </c>
      <c r="AA142">
        <v>39.020000000000003</v>
      </c>
      <c r="AB142">
        <v>130</v>
      </c>
      <c r="AC142">
        <v>30.24</v>
      </c>
      <c r="AD142">
        <v>0.34</v>
      </c>
      <c r="AE142">
        <v>0</v>
      </c>
      <c r="AF142">
        <v>0.11</v>
      </c>
      <c r="AG142">
        <v>1</v>
      </c>
      <c r="AH142">
        <v>30.24</v>
      </c>
      <c r="AI142">
        <v>30.24</v>
      </c>
      <c r="AJ142">
        <v>30.24</v>
      </c>
      <c r="AK142">
        <v>0.34</v>
      </c>
      <c r="AL142">
        <v>0.34</v>
      </c>
      <c r="AM142">
        <v>0.34</v>
      </c>
      <c r="AN142">
        <v>0</v>
      </c>
      <c r="AO142">
        <v>0</v>
      </c>
      <c r="AP142">
        <v>0</v>
      </c>
      <c r="AQ142">
        <v>39.018149430000001</v>
      </c>
      <c r="AR142">
        <v>1</v>
      </c>
      <c r="AS142">
        <v>141</v>
      </c>
      <c r="AT142">
        <v>1</v>
      </c>
      <c r="AU142">
        <v>141</v>
      </c>
      <c r="AV142">
        <v>6</v>
      </c>
      <c r="AW142" t="s">
        <v>789</v>
      </c>
      <c r="AX142" t="s">
        <v>148</v>
      </c>
      <c r="AY142" t="s">
        <v>501</v>
      </c>
      <c r="AZ142">
        <v>969</v>
      </c>
      <c r="BA142" t="s">
        <v>790</v>
      </c>
      <c r="BB142">
        <v>1697</v>
      </c>
      <c r="BC142" t="s">
        <v>602</v>
      </c>
      <c r="BD142">
        <v>1930</v>
      </c>
      <c r="BE142">
        <v>1</v>
      </c>
      <c r="BF142">
        <v>189.10887550000001</v>
      </c>
    </row>
    <row r="143" spans="1:58" x14ac:dyDescent="0.2">
      <c r="A143">
        <v>142</v>
      </c>
      <c r="B143" t="s">
        <v>190</v>
      </c>
      <c r="C143">
        <v>0</v>
      </c>
      <c r="H143" t="s">
        <v>190</v>
      </c>
      <c r="I143" t="s">
        <v>148</v>
      </c>
      <c r="Q143" t="s">
        <v>190</v>
      </c>
      <c r="R143">
        <v>29.491778010000001</v>
      </c>
      <c r="S143">
        <v>6</v>
      </c>
      <c r="T143">
        <v>130</v>
      </c>
      <c r="V143">
        <v>0</v>
      </c>
      <c r="W143">
        <v>0</v>
      </c>
      <c r="X143" t="s">
        <v>190</v>
      </c>
      <c r="Y143">
        <v>-1</v>
      </c>
      <c r="Z143">
        <v>6</v>
      </c>
      <c r="AA143">
        <v>29.49</v>
      </c>
      <c r="AB143">
        <v>130</v>
      </c>
      <c r="AC143">
        <v>30.24</v>
      </c>
      <c r="AD143">
        <v>0.34</v>
      </c>
      <c r="AE143">
        <v>0</v>
      </c>
      <c r="AF143">
        <v>0.11</v>
      </c>
      <c r="AG143">
        <v>1</v>
      </c>
      <c r="AH143">
        <v>30.24</v>
      </c>
      <c r="AI143">
        <v>30.24</v>
      </c>
      <c r="AJ143">
        <v>30.24</v>
      </c>
      <c r="AK143">
        <v>0.34</v>
      </c>
      <c r="AL143">
        <v>0.34</v>
      </c>
      <c r="AM143">
        <v>0.34</v>
      </c>
      <c r="AN143">
        <v>0</v>
      </c>
      <c r="AO143">
        <v>0</v>
      </c>
      <c r="AP143">
        <v>0</v>
      </c>
      <c r="AQ143">
        <v>29.491778010000001</v>
      </c>
      <c r="AR143">
        <v>1</v>
      </c>
      <c r="AS143">
        <v>142</v>
      </c>
      <c r="AT143">
        <v>1</v>
      </c>
      <c r="AU143">
        <v>142</v>
      </c>
      <c r="AV143">
        <v>6</v>
      </c>
      <c r="AW143" t="s">
        <v>603</v>
      </c>
      <c r="AX143" t="s">
        <v>45</v>
      </c>
      <c r="AY143" t="s">
        <v>501</v>
      </c>
      <c r="AZ143">
        <v>1540</v>
      </c>
      <c r="BA143" t="s">
        <v>604</v>
      </c>
      <c r="BB143">
        <v>1698</v>
      </c>
      <c r="BC143" t="s">
        <v>605</v>
      </c>
      <c r="BD143">
        <v>1930</v>
      </c>
      <c r="BE143">
        <v>0</v>
      </c>
      <c r="BF143">
        <v>24.914346420000001</v>
      </c>
    </row>
    <row r="144" spans="1:58" x14ac:dyDescent="0.2">
      <c r="A144">
        <v>143</v>
      </c>
      <c r="B144" t="s">
        <v>191</v>
      </c>
      <c r="C144">
        <v>0</v>
      </c>
      <c r="H144" t="s">
        <v>191</v>
      </c>
      <c r="I144" t="s">
        <v>148</v>
      </c>
      <c r="Q144" t="s">
        <v>191</v>
      </c>
      <c r="R144">
        <v>143.73243790000001</v>
      </c>
      <c r="S144">
        <v>6</v>
      </c>
      <c r="T144">
        <v>130</v>
      </c>
      <c r="V144">
        <v>0</v>
      </c>
      <c r="W144">
        <v>0</v>
      </c>
      <c r="X144" t="s">
        <v>191</v>
      </c>
      <c r="Y144">
        <v>-1</v>
      </c>
      <c r="Z144">
        <v>6</v>
      </c>
      <c r="AA144">
        <v>143.72999999999999</v>
      </c>
      <c r="AB144">
        <v>130</v>
      </c>
      <c r="AC144">
        <v>30.24</v>
      </c>
      <c r="AD144">
        <v>0.34</v>
      </c>
      <c r="AE144">
        <v>0.02</v>
      </c>
      <c r="AF144">
        <v>0.11</v>
      </c>
      <c r="AG144">
        <v>1</v>
      </c>
      <c r="AH144">
        <v>30.24</v>
      </c>
      <c r="AI144">
        <v>30.24</v>
      </c>
      <c r="AJ144">
        <v>30.24</v>
      </c>
      <c r="AK144">
        <v>0.34</v>
      </c>
      <c r="AL144">
        <v>0.34</v>
      </c>
      <c r="AM144">
        <v>0.34</v>
      </c>
      <c r="AN144">
        <v>0.02</v>
      </c>
      <c r="AO144">
        <v>0.02</v>
      </c>
      <c r="AP144">
        <v>0.02</v>
      </c>
      <c r="AQ144">
        <v>143.73243790000001</v>
      </c>
      <c r="AR144">
        <v>1</v>
      </c>
      <c r="AS144">
        <v>143</v>
      </c>
      <c r="AT144">
        <v>1</v>
      </c>
      <c r="AU144">
        <v>143</v>
      </c>
      <c r="AV144">
        <v>6</v>
      </c>
      <c r="AW144" t="s">
        <v>793</v>
      </c>
      <c r="AX144" t="s">
        <v>148</v>
      </c>
      <c r="AY144" t="s">
        <v>501</v>
      </c>
      <c r="AZ144">
        <v>1698</v>
      </c>
      <c r="BA144" t="s">
        <v>605</v>
      </c>
      <c r="BB144">
        <v>1699</v>
      </c>
      <c r="BC144" t="s">
        <v>608</v>
      </c>
      <c r="BD144">
        <v>1930</v>
      </c>
      <c r="BE144">
        <v>1</v>
      </c>
      <c r="BF144">
        <v>173.22404109999999</v>
      </c>
    </row>
    <row r="145" spans="1:58" x14ac:dyDescent="0.2">
      <c r="A145">
        <v>144</v>
      </c>
      <c r="B145" t="s">
        <v>192</v>
      </c>
      <c r="C145">
        <v>0</v>
      </c>
      <c r="H145" t="s">
        <v>192</v>
      </c>
      <c r="I145" t="s">
        <v>148</v>
      </c>
      <c r="Q145" t="s">
        <v>192</v>
      </c>
      <c r="R145">
        <v>80.440652349999993</v>
      </c>
      <c r="S145">
        <v>6</v>
      </c>
      <c r="T145">
        <v>130</v>
      </c>
      <c r="V145">
        <v>0</v>
      </c>
      <c r="W145">
        <v>0</v>
      </c>
      <c r="X145" t="s">
        <v>192</v>
      </c>
      <c r="Y145">
        <v>-1</v>
      </c>
      <c r="Z145">
        <v>6</v>
      </c>
      <c r="AA145">
        <v>80.44</v>
      </c>
      <c r="AB145">
        <v>130</v>
      </c>
      <c r="AC145">
        <v>30.24</v>
      </c>
      <c r="AD145">
        <v>0.34</v>
      </c>
      <c r="AE145">
        <v>0.01</v>
      </c>
      <c r="AF145">
        <v>0.11</v>
      </c>
      <c r="AG145">
        <v>1</v>
      </c>
      <c r="AH145">
        <v>30.24</v>
      </c>
      <c r="AI145">
        <v>30.24</v>
      </c>
      <c r="AJ145">
        <v>30.24</v>
      </c>
      <c r="AK145">
        <v>0.34</v>
      </c>
      <c r="AL145">
        <v>0.34</v>
      </c>
      <c r="AM145">
        <v>0.34</v>
      </c>
      <c r="AN145">
        <v>0.01</v>
      </c>
      <c r="AO145">
        <v>0.01</v>
      </c>
      <c r="AP145">
        <v>0.01</v>
      </c>
      <c r="AQ145">
        <v>80.440652349999993</v>
      </c>
      <c r="AR145">
        <v>1</v>
      </c>
      <c r="AS145">
        <v>144</v>
      </c>
      <c r="AT145">
        <v>1</v>
      </c>
      <c r="AU145">
        <v>144</v>
      </c>
      <c r="AV145">
        <v>6</v>
      </c>
      <c r="AW145" t="s">
        <v>794</v>
      </c>
      <c r="AX145" t="s">
        <v>148</v>
      </c>
      <c r="AY145" t="s">
        <v>501</v>
      </c>
      <c r="AZ145">
        <v>1699</v>
      </c>
      <c r="BA145" t="s">
        <v>608</v>
      </c>
      <c r="BB145">
        <v>851</v>
      </c>
      <c r="BC145" t="s">
        <v>795</v>
      </c>
      <c r="BD145">
        <v>1930</v>
      </c>
      <c r="BE145">
        <v>1</v>
      </c>
      <c r="BF145">
        <v>80.440581730000005</v>
      </c>
    </row>
    <row r="146" spans="1:58" x14ac:dyDescent="0.2">
      <c r="A146">
        <v>145</v>
      </c>
      <c r="B146" t="s">
        <v>193</v>
      </c>
      <c r="C146">
        <v>0</v>
      </c>
      <c r="H146" t="s">
        <v>193</v>
      </c>
      <c r="I146" t="s">
        <v>148</v>
      </c>
      <c r="Q146" t="s">
        <v>193</v>
      </c>
      <c r="R146">
        <v>24.68039997</v>
      </c>
      <c r="S146">
        <v>8</v>
      </c>
      <c r="T146">
        <v>130</v>
      </c>
      <c r="V146">
        <v>0</v>
      </c>
      <c r="W146">
        <v>0</v>
      </c>
      <c r="X146" t="s">
        <v>193</v>
      </c>
      <c r="Y146">
        <v>-1</v>
      </c>
      <c r="Z146">
        <v>8</v>
      </c>
      <c r="AA146">
        <v>24.68</v>
      </c>
      <c r="AB146">
        <v>130</v>
      </c>
      <c r="AC146">
        <v>63.48</v>
      </c>
      <c r="AD146">
        <v>0.41</v>
      </c>
      <c r="AE146">
        <v>0</v>
      </c>
      <c r="AF146">
        <v>0.11</v>
      </c>
      <c r="AG146">
        <v>1</v>
      </c>
      <c r="AH146">
        <v>63.48</v>
      </c>
      <c r="AI146">
        <v>63.48</v>
      </c>
      <c r="AJ146">
        <v>63.48</v>
      </c>
      <c r="AK146">
        <v>0.41</v>
      </c>
      <c r="AL146">
        <v>0.41</v>
      </c>
      <c r="AM146">
        <v>0.41</v>
      </c>
      <c r="AN146">
        <v>0</v>
      </c>
      <c r="AO146">
        <v>0</v>
      </c>
      <c r="AP146">
        <v>0</v>
      </c>
      <c r="AQ146">
        <v>24.68039997</v>
      </c>
      <c r="AR146">
        <v>1</v>
      </c>
      <c r="AS146">
        <v>145</v>
      </c>
      <c r="AT146">
        <v>1</v>
      </c>
      <c r="AU146">
        <v>145</v>
      </c>
      <c r="AV146">
        <v>8</v>
      </c>
      <c r="AW146" t="s">
        <v>796</v>
      </c>
      <c r="AX146" t="s">
        <v>148</v>
      </c>
      <c r="AY146" t="s">
        <v>501</v>
      </c>
      <c r="AZ146">
        <v>851</v>
      </c>
      <c r="BA146" t="s">
        <v>795</v>
      </c>
      <c r="BB146">
        <v>1700</v>
      </c>
      <c r="BC146" t="s">
        <v>611</v>
      </c>
      <c r="BD146">
        <v>1930</v>
      </c>
      <c r="BE146">
        <v>1</v>
      </c>
      <c r="BF146">
        <v>255.75401260000001</v>
      </c>
    </row>
    <row r="147" spans="1:58" x14ac:dyDescent="0.2">
      <c r="A147">
        <v>146</v>
      </c>
      <c r="B147" t="s">
        <v>194</v>
      </c>
      <c r="C147">
        <v>0</v>
      </c>
      <c r="H147" t="s">
        <v>194</v>
      </c>
      <c r="I147" t="s">
        <v>148</v>
      </c>
      <c r="Q147" t="s">
        <v>194</v>
      </c>
      <c r="R147">
        <v>231.07360009999999</v>
      </c>
      <c r="S147">
        <v>8</v>
      </c>
      <c r="T147">
        <v>130</v>
      </c>
      <c r="V147">
        <v>0</v>
      </c>
      <c r="W147">
        <v>0</v>
      </c>
      <c r="X147" t="s">
        <v>194</v>
      </c>
      <c r="Y147">
        <v>-1</v>
      </c>
      <c r="Z147">
        <v>8</v>
      </c>
      <c r="AA147">
        <v>231.07</v>
      </c>
      <c r="AB147">
        <v>130</v>
      </c>
      <c r="AC147">
        <v>63.48</v>
      </c>
      <c r="AD147">
        <v>0.41</v>
      </c>
      <c r="AE147">
        <v>0.03</v>
      </c>
      <c r="AF147">
        <v>0.11</v>
      </c>
      <c r="AG147">
        <v>1</v>
      </c>
      <c r="AH147">
        <v>63.48</v>
      </c>
      <c r="AI147">
        <v>63.48</v>
      </c>
      <c r="AJ147">
        <v>63.48</v>
      </c>
      <c r="AK147">
        <v>0.41</v>
      </c>
      <c r="AL147">
        <v>0.41</v>
      </c>
      <c r="AM147">
        <v>0.41</v>
      </c>
      <c r="AN147">
        <v>0.03</v>
      </c>
      <c r="AO147">
        <v>0.03</v>
      </c>
      <c r="AP147">
        <v>0.03</v>
      </c>
      <c r="AQ147">
        <v>231.07360009999999</v>
      </c>
      <c r="AR147">
        <v>1</v>
      </c>
      <c r="AS147">
        <v>146</v>
      </c>
      <c r="AT147">
        <v>1</v>
      </c>
      <c r="AU147">
        <v>146</v>
      </c>
      <c r="AV147">
        <v>6</v>
      </c>
      <c r="AW147" t="s">
        <v>609</v>
      </c>
      <c r="AX147" t="s">
        <v>45</v>
      </c>
      <c r="AY147" t="s">
        <v>501</v>
      </c>
      <c r="AZ147">
        <v>1542</v>
      </c>
      <c r="BA147" t="s">
        <v>610</v>
      </c>
      <c r="BB147">
        <v>1700</v>
      </c>
      <c r="BC147" t="s">
        <v>611</v>
      </c>
      <c r="BD147">
        <v>1930</v>
      </c>
      <c r="BE147">
        <v>0</v>
      </c>
      <c r="BF147">
        <v>27.09466334</v>
      </c>
    </row>
    <row r="148" spans="1:58" x14ac:dyDescent="0.2">
      <c r="A148">
        <v>147</v>
      </c>
      <c r="B148" t="s">
        <v>195</v>
      </c>
      <c r="C148">
        <v>0</v>
      </c>
      <c r="H148" t="s">
        <v>195</v>
      </c>
      <c r="I148" t="s">
        <v>148</v>
      </c>
      <c r="Q148" t="s">
        <v>195</v>
      </c>
      <c r="R148">
        <v>139.54423940000001</v>
      </c>
      <c r="S148">
        <v>8</v>
      </c>
      <c r="T148">
        <v>130</v>
      </c>
      <c r="V148">
        <v>0</v>
      </c>
      <c r="W148">
        <v>0</v>
      </c>
      <c r="X148" t="s">
        <v>195</v>
      </c>
      <c r="Y148">
        <v>-1</v>
      </c>
      <c r="Z148">
        <v>8</v>
      </c>
      <c r="AA148">
        <v>139.54</v>
      </c>
      <c r="AB148">
        <v>130</v>
      </c>
      <c r="AC148">
        <v>65.290000000000006</v>
      </c>
      <c r="AD148">
        <v>0.42</v>
      </c>
      <c r="AE148">
        <v>0.02</v>
      </c>
      <c r="AF148">
        <v>0.12</v>
      </c>
      <c r="AG148">
        <v>1</v>
      </c>
      <c r="AH148">
        <v>65.290000000000006</v>
      </c>
      <c r="AI148">
        <v>65.290000000000006</v>
      </c>
      <c r="AJ148">
        <v>65.290000000000006</v>
      </c>
      <c r="AK148">
        <v>0.42</v>
      </c>
      <c r="AL148">
        <v>0.42</v>
      </c>
      <c r="AM148">
        <v>0.42</v>
      </c>
      <c r="AN148">
        <v>0.02</v>
      </c>
      <c r="AO148">
        <v>0.02</v>
      </c>
      <c r="AP148">
        <v>0.02</v>
      </c>
      <c r="AQ148">
        <v>139.54423940000001</v>
      </c>
      <c r="AR148">
        <v>1</v>
      </c>
      <c r="AS148">
        <v>147</v>
      </c>
      <c r="AT148">
        <v>1</v>
      </c>
      <c r="AU148">
        <v>147</v>
      </c>
      <c r="AV148">
        <v>6</v>
      </c>
      <c r="AW148" t="s">
        <v>609</v>
      </c>
      <c r="AX148" t="s">
        <v>45</v>
      </c>
      <c r="AY148" t="s">
        <v>501</v>
      </c>
      <c r="AZ148">
        <v>1542</v>
      </c>
      <c r="BA148" t="s">
        <v>610</v>
      </c>
      <c r="BB148">
        <v>1700</v>
      </c>
      <c r="BC148" t="s">
        <v>611</v>
      </c>
      <c r="BD148">
        <v>1930</v>
      </c>
      <c r="BE148">
        <v>0</v>
      </c>
      <c r="BF148">
        <v>27.09466334</v>
      </c>
    </row>
    <row r="149" spans="1:58" x14ac:dyDescent="0.2">
      <c r="A149">
        <v>148</v>
      </c>
      <c r="B149" t="s">
        <v>196</v>
      </c>
      <c r="C149">
        <v>0</v>
      </c>
      <c r="H149" t="s">
        <v>196</v>
      </c>
      <c r="I149" t="s">
        <v>148</v>
      </c>
      <c r="Q149" t="s">
        <v>196</v>
      </c>
      <c r="R149">
        <v>200.88721269999999</v>
      </c>
      <c r="S149">
        <v>8</v>
      </c>
      <c r="T149">
        <v>130</v>
      </c>
      <c r="V149">
        <v>0</v>
      </c>
      <c r="W149">
        <v>0</v>
      </c>
      <c r="X149" t="s">
        <v>196</v>
      </c>
      <c r="Y149">
        <v>-1</v>
      </c>
      <c r="Z149">
        <v>8</v>
      </c>
      <c r="AA149">
        <v>200.89</v>
      </c>
      <c r="AB149">
        <v>130</v>
      </c>
      <c r="AC149">
        <v>53.93</v>
      </c>
      <c r="AD149">
        <v>0.34</v>
      </c>
      <c r="AE149">
        <v>0.02</v>
      </c>
      <c r="AF149">
        <v>0.08</v>
      </c>
      <c r="AG149">
        <v>1</v>
      </c>
      <c r="AH149">
        <v>53.93</v>
      </c>
      <c r="AI149">
        <v>53.93</v>
      </c>
      <c r="AJ149">
        <v>53.93</v>
      </c>
      <c r="AK149">
        <v>0.34</v>
      </c>
      <c r="AL149">
        <v>0.34</v>
      </c>
      <c r="AM149">
        <v>0.34</v>
      </c>
      <c r="AN149">
        <v>0.02</v>
      </c>
      <c r="AO149">
        <v>0.02</v>
      </c>
      <c r="AP149">
        <v>0.02</v>
      </c>
      <c r="AQ149">
        <v>200.88721269999999</v>
      </c>
      <c r="AR149">
        <v>1</v>
      </c>
      <c r="AS149">
        <v>148</v>
      </c>
      <c r="AT149">
        <v>1</v>
      </c>
      <c r="AU149">
        <v>148</v>
      </c>
      <c r="AV149">
        <v>6</v>
      </c>
      <c r="AW149" t="s">
        <v>636</v>
      </c>
      <c r="AX149" t="s">
        <v>45</v>
      </c>
      <c r="AY149" t="s">
        <v>501</v>
      </c>
      <c r="AZ149">
        <v>1551</v>
      </c>
      <c r="BA149" t="s">
        <v>637</v>
      </c>
      <c r="BB149">
        <v>1706</v>
      </c>
      <c r="BC149" t="s">
        <v>638</v>
      </c>
      <c r="BD149">
        <v>1930</v>
      </c>
      <c r="BE149">
        <v>0</v>
      </c>
      <c r="BF149">
        <v>5.6538831089999997</v>
      </c>
    </row>
    <row r="150" spans="1:58" x14ac:dyDescent="0.2">
      <c r="A150">
        <v>149</v>
      </c>
      <c r="B150" t="s">
        <v>197</v>
      </c>
      <c r="C150">
        <v>0</v>
      </c>
      <c r="H150" t="s">
        <v>197</v>
      </c>
      <c r="I150" t="s">
        <v>148</v>
      </c>
      <c r="Q150" t="s">
        <v>197</v>
      </c>
      <c r="R150">
        <v>49.172243829999999</v>
      </c>
      <c r="S150">
        <v>8</v>
      </c>
      <c r="T150">
        <v>130</v>
      </c>
      <c r="V150">
        <v>0</v>
      </c>
      <c r="W150">
        <v>0</v>
      </c>
      <c r="X150" t="s">
        <v>197</v>
      </c>
      <c r="Y150">
        <v>-1</v>
      </c>
      <c r="Z150">
        <v>8</v>
      </c>
      <c r="AA150">
        <v>49.17</v>
      </c>
      <c r="AB150">
        <v>130</v>
      </c>
      <c r="AC150">
        <v>54.07</v>
      </c>
      <c r="AD150">
        <v>0.35</v>
      </c>
      <c r="AE150">
        <v>0</v>
      </c>
      <c r="AF150">
        <v>0.08</v>
      </c>
      <c r="AG150">
        <v>1</v>
      </c>
      <c r="AH150">
        <v>54.07</v>
      </c>
      <c r="AI150">
        <v>54.07</v>
      </c>
      <c r="AJ150">
        <v>54.07</v>
      </c>
      <c r="AK150">
        <v>0.35</v>
      </c>
      <c r="AL150">
        <v>0.35</v>
      </c>
      <c r="AM150">
        <v>0.35</v>
      </c>
      <c r="AN150">
        <v>0</v>
      </c>
      <c r="AO150">
        <v>0</v>
      </c>
      <c r="AP150">
        <v>0</v>
      </c>
      <c r="AQ150">
        <v>49.172243829999999</v>
      </c>
      <c r="AR150">
        <v>1</v>
      </c>
      <c r="AS150">
        <v>149</v>
      </c>
      <c r="AT150">
        <v>1</v>
      </c>
      <c r="AU150">
        <v>149</v>
      </c>
      <c r="AV150">
        <v>8</v>
      </c>
      <c r="AW150" t="s">
        <v>797</v>
      </c>
      <c r="AX150" t="s">
        <v>148</v>
      </c>
      <c r="AY150" t="s">
        <v>501</v>
      </c>
      <c r="AZ150">
        <v>1706</v>
      </c>
      <c r="BA150" t="s">
        <v>638</v>
      </c>
      <c r="BB150">
        <v>999</v>
      </c>
      <c r="BC150" t="s">
        <v>798</v>
      </c>
      <c r="BD150">
        <v>1930</v>
      </c>
      <c r="BE150">
        <v>1</v>
      </c>
      <c r="BF150">
        <v>66.475461949999996</v>
      </c>
    </row>
    <row r="151" spans="1:58" x14ac:dyDescent="0.2">
      <c r="A151">
        <v>150</v>
      </c>
      <c r="B151" t="s">
        <v>198</v>
      </c>
      <c r="C151">
        <v>0</v>
      </c>
      <c r="H151" t="s">
        <v>198</v>
      </c>
      <c r="I151" t="s">
        <v>148</v>
      </c>
      <c r="Q151" t="s">
        <v>198</v>
      </c>
      <c r="R151">
        <v>17.303147840000001</v>
      </c>
      <c r="S151">
        <v>8</v>
      </c>
      <c r="T151">
        <v>130</v>
      </c>
      <c r="V151">
        <v>0</v>
      </c>
      <c r="W151">
        <v>0</v>
      </c>
      <c r="X151" t="s">
        <v>198</v>
      </c>
      <c r="Y151">
        <v>-1</v>
      </c>
      <c r="Z151">
        <v>8</v>
      </c>
      <c r="AA151">
        <v>17.3</v>
      </c>
      <c r="AB151">
        <v>130</v>
      </c>
      <c r="AC151">
        <v>54.07</v>
      </c>
      <c r="AD151">
        <v>0.35</v>
      </c>
      <c r="AE151">
        <v>0</v>
      </c>
      <c r="AF151">
        <v>0.08</v>
      </c>
      <c r="AG151">
        <v>1</v>
      </c>
      <c r="AH151">
        <v>54.07</v>
      </c>
      <c r="AI151">
        <v>54.07</v>
      </c>
      <c r="AJ151">
        <v>54.07</v>
      </c>
      <c r="AK151">
        <v>0.35</v>
      </c>
      <c r="AL151">
        <v>0.35</v>
      </c>
      <c r="AM151">
        <v>0.35</v>
      </c>
      <c r="AN151">
        <v>0</v>
      </c>
      <c r="AO151">
        <v>0</v>
      </c>
      <c r="AP151">
        <v>0</v>
      </c>
      <c r="AQ151">
        <v>17.303147840000001</v>
      </c>
      <c r="AR151">
        <v>1</v>
      </c>
      <c r="AS151">
        <v>150</v>
      </c>
      <c r="AT151">
        <v>1</v>
      </c>
      <c r="AU151">
        <v>150</v>
      </c>
      <c r="AV151">
        <v>8</v>
      </c>
      <c r="AW151" t="s">
        <v>797</v>
      </c>
      <c r="AX151" t="s">
        <v>148</v>
      </c>
      <c r="AY151" t="s">
        <v>501</v>
      </c>
      <c r="AZ151">
        <v>1706</v>
      </c>
      <c r="BA151" t="s">
        <v>638</v>
      </c>
      <c r="BB151">
        <v>999</v>
      </c>
      <c r="BC151" t="s">
        <v>798</v>
      </c>
      <c r="BD151">
        <v>1930</v>
      </c>
      <c r="BE151">
        <v>1</v>
      </c>
      <c r="BF151">
        <v>66.475461949999996</v>
      </c>
    </row>
    <row r="152" spans="1:58" x14ac:dyDescent="0.2">
      <c r="A152">
        <v>151</v>
      </c>
      <c r="B152" t="s">
        <v>199</v>
      </c>
      <c r="C152">
        <v>0</v>
      </c>
      <c r="H152" t="s">
        <v>199</v>
      </c>
      <c r="I152" t="s">
        <v>158</v>
      </c>
      <c r="Q152" t="s">
        <v>199</v>
      </c>
      <c r="R152">
        <v>343.81559019999997</v>
      </c>
      <c r="S152">
        <v>6</v>
      </c>
      <c r="T152">
        <v>130</v>
      </c>
      <c r="V152">
        <v>0</v>
      </c>
      <c r="W152">
        <v>0</v>
      </c>
      <c r="X152" t="s">
        <v>199</v>
      </c>
      <c r="Y152">
        <v>-1</v>
      </c>
      <c r="Z152">
        <v>6</v>
      </c>
      <c r="AA152">
        <v>343.82</v>
      </c>
      <c r="AB152">
        <v>130</v>
      </c>
      <c r="AC152">
        <v>19.190000000000001</v>
      </c>
      <c r="AD152">
        <v>0.22</v>
      </c>
      <c r="AE152">
        <v>0.02</v>
      </c>
      <c r="AF152">
        <v>0.05</v>
      </c>
      <c r="AG152">
        <v>1</v>
      </c>
      <c r="AH152">
        <v>19.190000000000001</v>
      </c>
      <c r="AI152">
        <v>19.190000000000001</v>
      </c>
      <c r="AJ152">
        <v>19.190000000000001</v>
      </c>
      <c r="AK152">
        <v>0.22</v>
      </c>
      <c r="AL152">
        <v>0.22</v>
      </c>
      <c r="AM152">
        <v>0.22</v>
      </c>
      <c r="AN152">
        <v>0.02</v>
      </c>
      <c r="AO152">
        <v>0.02</v>
      </c>
      <c r="AP152">
        <v>0.02</v>
      </c>
      <c r="AQ152">
        <v>343.81559019999997</v>
      </c>
      <c r="AR152">
        <v>1</v>
      </c>
      <c r="AS152">
        <v>151</v>
      </c>
      <c r="AT152">
        <v>1</v>
      </c>
      <c r="AU152">
        <v>151</v>
      </c>
      <c r="AV152">
        <v>6</v>
      </c>
      <c r="AW152" t="s">
        <v>653</v>
      </c>
      <c r="AX152" t="s">
        <v>45</v>
      </c>
      <c r="AY152" t="s">
        <v>501</v>
      </c>
      <c r="AZ152">
        <v>1557</v>
      </c>
      <c r="BA152" t="s">
        <v>654</v>
      </c>
      <c r="BB152">
        <v>1712</v>
      </c>
      <c r="BC152" t="s">
        <v>655</v>
      </c>
      <c r="BD152">
        <v>1930</v>
      </c>
      <c r="BE152">
        <v>0</v>
      </c>
      <c r="BF152">
        <v>16.899076999999998</v>
      </c>
    </row>
    <row r="153" spans="1:58" x14ac:dyDescent="0.2">
      <c r="A153">
        <v>152</v>
      </c>
      <c r="B153" t="s">
        <v>200</v>
      </c>
      <c r="C153">
        <v>0</v>
      </c>
      <c r="H153" t="s">
        <v>200</v>
      </c>
      <c r="I153" t="s">
        <v>158</v>
      </c>
      <c r="Q153" t="s">
        <v>200</v>
      </c>
      <c r="R153">
        <v>281.80749159999999</v>
      </c>
      <c r="S153">
        <v>6</v>
      </c>
      <c r="T153">
        <v>130</v>
      </c>
      <c r="V153">
        <v>0</v>
      </c>
      <c r="W153">
        <v>0</v>
      </c>
      <c r="X153" t="s">
        <v>200</v>
      </c>
      <c r="Y153">
        <v>-1</v>
      </c>
      <c r="Z153">
        <v>6</v>
      </c>
      <c r="AA153">
        <v>281.81</v>
      </c>
      <c r="AB153">
        <v>130</v>
      </c>
      <c r="AC153">
        <v>19.329999999999998</v>
      </c>
      <c r="AD153">
        <v>0.22</v>
      </c>
      <c r="AE153">
        <v>0.01</v>
      </c>
      <c r="AF153">
        <v>0.05</v>
      </c>
      <c r="AG153">
        <v>1</v>
      </c>
      <c r="AH153">
        <v>19.329999999999998</v>
      </c>
      <c r="AI153">
        <v>19.329999999999998</v>
      </c>
      <c r="AJ153">
        <v>19.329999999999998</v>
      </c>
      <c r="AK153">
        <v>0.22</v>
      </c>
      <c r="AL153">
        <v>0.22</v>
      </c>
      <c r="AM153">
        <v>0.22</v>
      </c>
      <c r="AN153">
        <v>0.01</v>
      </c>
      <c r="AO153">
        <v>0.01</v>
      </c>
      <c r="AP153">
        <v>0.01</v>
      </c>
      <c r="AQ153">
        <v>281.80749159999999</v>
      </c>
      <c r="AR153">
        <v>1</v>
      </c>
      <c r="AS153">
        <v>152</v>
      </c>
      <c r="AT153">
        <v>1</v>
      </c>
      <c r="AU153">
        <v>152</v>
      </c>
      <c r="AV153">
        <v>6</v>
      </c>
      <c r="AW153" t="s">
        <v>799</v>
      </c>
      <c r="AX153" t="s">
        <v>158</v>
      </c>
      <c r="AY153" t="s">
        <v>501</v>
      </c>
      <c r="AZ153">
        <v>1712</v>
      </c>
      <c r="BA153" t="s">
        <v>655</v>
      </c>
      <c r="BB153">
        <v>1711</v>
      </c>
      <c r="BC153" t="s">
        <v>652</v>
      </c>
      <c r="BD153">
        <v>1950</v>
      </c>
      <c r="BE153">
        <v>1</v>
      </c>
      <c r="BF153">
        <v>281.8077227</v>
      </c>
    </row>
    <row r="154" spans="1:58" x14ac:dyDescent="0.2">
      <c r="A154">
        <v>153</v>
      </c>
      <c r="B154" t="s">
        <v>201</v>
      </c>
      <c r="C154">
        <v>0</v>
      </c>
      <c r="H154" t="s">
        <v>201</v>
      </c>
      <c r="I154" t="s">
        <v>158</v>
      </c>
      <c r="Q154" t="s">
        <v>201</v>
      </c>
      <c r="R154">
        <v>252.0684287</v>
      </c>
      <c r="S154">
        <v>6</v>
      </c>
      <c r="T154">
        <v>130</v>
      </c>
      <c r="V154">
        <v>0</v>
      </c>
      <c r="W154">
        <v>0</v>
      </c>
      <c r="X154" t="s">
        <v>201</v>
      </c>
      <c r="Y154">
        <v>-1</v>
      </c>
      <c r="Z154">
        <v>6</v>
      </c>
      <c r="AA154">
        <v>252.07</v>
      </c>
      <c r="AB154">
        <v>130</v>
      </c>
      <c r="AC154">
        <v>19.61</v>
      </c>
      <c r="AD154">
        <v>0.22</v>
      </c>
      <c r="AE154">
        <v>0.01</v>
      </c>
      <c r="AF154">
        <v>0.05</v>
      </c>
      <c r="AG154">
        <v>1</v>
      </c>
      <c r="AH154">
        <v>19.61</v>
      </c>
      <c r="AI154">
        <v>19.61</v>
      </c>
      <c r="AJ154">
        <v>19.61</v>
      </c>
      <c r="AK154">
        <v>0.22</v>
      </c>
      <c r="AL154">
        <v>0.22</v>
      </c>
      <c r="AM154">
        <v>0.22</v>
      </c>
      <c r="AN154">
        <v>0.01</v>
      </c>
      <c r="AO154">
        <v>0.01</v>
      </c>
      <c r="AP154">
        <v>0.01</v>
      </c>
      <c r="AQ154">
        <v>252.0684287</v>
      </c>
      <c r="AR154">
        <v>1</v>
      </c>
      <c r="AS154">
        <v>153</v>
      </c>
      <c r="AT154">
        <v>1</v>
      </c>
      <c r="AU154">
        <v>153</v>
      </c>
      <c r="AV154">
        <v>6</v>
      </c>
      <c r="AW154" t="s">
        <v>800</v>
      </c>
      <c r="AX154" t="s">
        <v>158</v>
      </c>
      <c r="AY154" t="s">
        <v>501</v>
      </c>
      <c r="AZ154">
        <v>1711</v>
      </c>
      <c r="BA154" t="s">
        <v>652</v>
      </c>
      <c r="BB154">
        <v>1213</v>
      </c>
      <c r="BC154" t="s">
        <v>765</v>
      </c>
      <c r="BD154">
        <v>1950</v>
      </c>
      <c r="BE154">
        <v>1</v>
      </c>
      <c r="BF154">
        <v>252.068343</v>
      </c>
    </row>
    <row r="155" spans="1:58" x14ac:dyDescent="0.2">
      <c r="A155">
        <v>154</v>
      </c>
      <c r="B155" t="s">
        <v>202</v>
      </c>
      <c r="C155">
        <v>0</v>
      </c>
      <c r="H155" t="s">
        <v>202</v>
      </c>
      <c r="I155" t="s">
        <v>158</v>
      </c>
      <c r="Q155" t="s">
        <v>202</v>
      </c>
      <c r="R155">
        <v>310.31780090000001</v>
      </c>
      <c r="S155">
        <v>6</v>
      </c>
      <c r="T155">
        <v>130</v>
      </c>
      <c r="V155">
        <v>0</v>
      </c>
      <c r="W155">
        <v>0</v>
      </c>
      <c r="X155" t="s">
        <v>202</v>
      </c>
      <c r="Y155">
        <v>-1</v>
      </c>
      <c r="Z155">
        <v>6</v>
      </c>
      <c r="AA155">
        <v>310.32</v>
      </c>
      <c r="AB155">
        <v>130</v>
      </c>
      <c r="AC155">
        <v>35.590000000000003</v>
      </c>
      <c r="AD155">
        <v>0.4</v>
      </c>
      <c r="AE155">
        <v>0.05</v>
      </c>
      <c r="AF155">
        <v>0.15</v>
      </c>
      <c r="AG155">
        <v>1</v>
      </c>
      <c r="AH155">
        <v>35.590000000000003</v>
      </c>
      <c r="AI155">
        <v>35.590000000000003</v>
      </c>
      <c r="AJ155">
        <v>35.590000000000003</v>
      </c>
      <c r="AK155">
        <v>0.4</v>
      </c>
      <c r="AL155">
        <v>0.4</v>
      </c>
      <c r="AM155">
        <v>0.4</v>
      </c>
      <c r="AN155">
        <v>0.05</v>
      </c>
      <c r="AO155">
        <v>0.05</v>
      </c>
      <c r="AP155">
        <v>0.05</v>
      </c>
      <c r="AQ155">
        <v>310.31780090000001</v>
      </c>
      <c r="AR155">
        <v>1</v>
      </c>
      <c r="AS155">
        <v>154</v>
      </c>
      <c r="AT155">
        <v>1</v>
      </c>
      <c r="AU155">
        <v>154</v>
      </c>
      <c r="AV155">
        <v>6</v>
      </c>
      <c r="AW155" t="s">
        <v>801</v>
      </c>
      <c r="AX155" t="s">
        <v>158</v>
      </c>
      <c r="AY155" t="s">
        <v>501</v>
      </c>
      <c r="AZ155">
        <v>1213</v>
      </c>
      <c r="BA155" t="s">
        <v>765</v>
      </c>
      <c r="BB155">
        <v>1710</v>
      </c>
      <c r="BC155" t="s">
        <v>649</v>
      </c>
      <c r="BD155">
        <v>1950</v>
      </c>
      <c r="BE155">
        <v>1</v>
      </c>
      <c r="BF155">
        <v>310.3179111</v>
      </c>
    </row>
    <row r="156" spans="1:58" x14ac:dyDescent="0.2">
      <c r="A156">
        <v>155</v>
      </c>
      <c r="B156" t="s">
        <v>203</v>
      </c>
      <c r="C156">
        <v>0</v>
      </c>
      <c r="H156" t="s">
        <v>203</v>
      </c>
      <c r="I156" t="s">
        <v>158</v>
      </c>
      <c r="Q156" t="s">
        <v>203</v>
      </c>
      <c r="R156">
        <v>67.823016280000004</v>
      </c>
      <c r="S156">
        <v>6</v>
      </c>
      <c r="T156">
        <v>130</v>
      </c>
      <c r="V156">
        <v>0</v>
      </c>
      <c r="W156">
        <v>0</v>
      </c>
      <c r="X156" t="s">
        <v>203</v>
      </c>
      <c r="Y156">
        <v>-1</v>
      </c>
      <c r="Z156">
        <v>6</v>
      </c>
      <c r="AA156">
        <v>67.819999999999993</v>
      </c>
      <c r="AB156">
        <v>130</v>
      </c>
      <c r="AC156">
        <v>35.590000000000003</v>
      </c>
      <c r="AD156">
        <v>0.4</v>
      </c>
      <c r="AE156">
        <v>0.01</v>
      </c>
      <c r="AF156">
        <v>0.15</v>
      </c>
      <c r="AG156">
        <v>1</v>
      </c>
      <c r="AH156">
        <v>35.590000000000003</v>
      </c>
      <c r="AI156">
        <v>35.590000000000003</v>
      </c>
      <c r="AJ156">
        <v>35.590000000000003</v>
      </c>
      <c r="AK156">
        <v>0.4</v>
      </c>
      <c r="AL156">
        <v>0.4</v>
      </c>
      <c r="AM156">
        <v>0.4</v>
      </c>
      <c r="AN156">
        <v>0.01</v>
      </c>
      <c r="AO156">
        <v>0.01</v>
      </c>
      <c r="AP156">
        <v>0.01</v>
      </c>
      <c r="AQ156">
        <v>67.823016280000004</v>
      </c>
      <c r="AR156">
        <v>1</v>
      </c>
      <c r="AS156">
        <v>155</v>
      </c>
      <c r="AT156">
        <v>1</v>
      </c>
      <c r="AU156">
        <v>155</v>
      </c>
      <c r="AV156">
        <v>6</v>
      </c>
      <c r="AW156" t="s">
        <v>648</v>
      </c>
      <c r="AX156" t="s">
        <v>158</v>
      </c>
      <c r="AY156" t="s">
        <v>501</v>
      </c>
      <c r="AZ156">
        <v>1710</v>
      </c>
      <c r="BA156" t="s">
        <v>649</v>
      </c>
      <c r="BB156">
        <v>1013</v>
      </c>
      <c r="BC156" t="s">
        <v>646</v>
      </c>
      <c r="BD156">
        <v>1950</v>
      </c>
      <c r="BE156">
        <v>1</v>
      </c>
      <c r="BF156">
        <v>85.834384920000005</v>
      </c>
    </row>
    <row r="157" spans="1:58" x14ac:dyDescent="0.2">
      <c r="A157">
        <v>156</v>
      </c>
      <c r="B157" t="s">
        <v>204</v>
      </c>
      <c r="C157">
        <v>0</v>
      </c>
      <c r="H157" t="s">
        <v>204</v>
      </c>
      <c r="I157" t="s">
        <v>158</v>
      </c>
      <c r="Q157" t="s">
        <v>204</v>
      </c>
      <c r="R157">
        <v>475.74672140000001</v>
      </c>
      <c r="S157">
        <v>6</v>
      </c>
      <c r="T157">
        <v>130</v>
      </c>
      <c r="V157">
        <v>0</v>
      </c>
      <c r="W157">
        <v>0</v>
      </c>
      <c r="X157" t="s">
        <v>204</v>
      </c>
      <c r="Y157">
        <v>-1</v>
      </c>
      <c r="Z157">
        <v>6</v>
      </c>
      <c r="AA157">
        <v>475.75</v>
      </c>
      <c r="AB157">
        <v>130</v>
      </c>
      <c r="AC157">
        <v>44.45</v>
      </c>
      <c r="AD157">
        <v>0.5</v>
      </c>
      <c r="AE157">
        <v>0.11</v>
      </c>
      <c r="AF157">
        <v>0.23</v>
      </c>
      <c r="AG157">
        <v>1</v>
      </c>
      <c r="AH157">
        <v>44.45</v>
      </c>
      <c r="AI157">
        <v>44.45</v>
      </c>
      <c r="AJ157">
        <v>44.45</v>
      </c>
      <c r="AK157">
        <v>0.5</v>
      </c>
      <c r="AL157">
        <v>0.5</v>
      </c>
      <c r="AM157">
        <v>0.5</v>
      </c>
      <c r="AN157">
        <v>0.11</v>
      </c>
      <c r="AO157">
        <v>0.11</v>
      </c>
      <c r="AP157">
        <v>0.11</v>
      </c>
      <c r="AQ157">
        <v>475.74672140000001</v>
      </c>
      <c r="AR157">
        <v>1</v>
      </c>
      <c r="AS157">
        <v>156</v>
      </c>
      <c r="AT157">
        <v>1</v>
      </c>
      <c r="AU157">
        <v>156</v>
      </c>
      <c r="AV157">
        <v>6</v>
      </c>
      <c r="AW157" t="s">
        <v>802</v>
      </c>
      <c r="AX157" t="s">
        <v>45</v>
      </c>
      <c r="AY157" t="s">
        <v>501</v>
      </c>
      <c r="AZ157">
        <v>1555</v>
      </c>
      <c r="BA157" t="s">
        <v>803</v>
      </c>
      <c r="BB157">
        <v>1710</v>
      </c>
      <c r="BC157" t="s">
        <v>649</v>
      </c>
      <c r="BD157">
        <v>1930</v>
      </c>
      <c r="BE157">
        <v>0</v>
      </c>
      <c r="BF157">
        <v>11.68948076</v>
      </c>
    </row>
    <row r="158" spans="1:58" x14ac:dyDescent="0.2">
      <c r="A158">
        <v>157</v>
      </c>
      <c r="B158" t="s">
        <v>205</v>
      </c>
      <c r="C158">
        <v>0</v>
      </c>
      <c r="H158" t="s">
        <v>205</v>
      </c>
      <c r="I158" t="s">
        <v>158</v>
      </c>
      <c r="Q158" t="s">
        <v>205</v>
      </c>
      <c r="R158">
        <v>132.86289909999999</v>
      </c>
      <c r="S158">
        <v>6</v>
      </c>
      <c r="T158">
        <v>130</v>
      </c>
      <c r="V158">
        <v>0</v>
      </c>
      <c r="W158">
        <v>0</v>
      </c>
      <c r="X158" t="s">
        <v>205</v>
      </c>
      <c r="Y158">
        <v>-1</v>
      </c>
      <c r="Z158">
        <v>6</v>
      </c>
      <c r="AA158">
        <v>132.86000000000001</v>
      </c>
      <c r="AB158">
        <v>130</v>
      </c>
      <c r="AC158">
        <v>45.15</v>
      </c>
      <c r="AD158">
        <v>0.51</v>
      </c>
      <c r="AE158">
        <v>0.03</v>
      </c>
      <c r="AF158">
        <v>0.24</v>
      </c>
      <c r="AG158">
        <v>1</v>
      </c>
      <c r="AH158">
        <v>45.15</v>
      </c>
      <c r="AI158">
        <v>45.15</v>
      </c>
      <c r="AJ158">
        <v>45.15</v>
      </c>
      <c r="AK158">
        <v>0.51</v>
      </c>
      <c r="AL158">
        <v>0.51</v>
      </c>
      <c r="AM158">
        <v>0.51</v>
      </c>
      <c r="AN158">
        <v>0.03</v>
      </c>
      <c r="AO158">
        <v>0.03</v>
      </c>
      <c r="AP158">
        <v>0.03</v>
      </c>
      <c r="AQ158">
        <v>132.86289909999999</v>
      </c>
      <c r="AR158">
        <v>1</v>
      </c>
      <c r="AS158">
        <v>157</v>
      </c>
      <c r="AT158">
        <v>1</v>
      </c>
      <c r="AU158">
        <v>157</v>
      </c>
      <c r="AV158">
        <v>6</v>
      </c>
      <c r="AW158" t="s">
        <v>804</v>
      </c>
      <c r="AX158" t="s">
        <v>45</v>
      </c>
      <c r="AY158" t="s">
        <v>501</v>
      </c>
      <c r="AZ158">
        <v>1554</v>
      </c>
      <c r="BA158" t="s">
        <v>805</v>
      </c>
      <c r="BB158">
        <v>1709</v>
      </c>
      <c r="BC158" t="s">
        <v>647</v>
      </c>
      <c r="BD158">
        <v>1930</v>
      </c>
      <c r="BE158">
        <v>0</v>
      </c>
      <c r="BF158">
        <v>13.322953589999999</v>
      </c>
    </row>
    <row r="159" spans="1:58" x14ac:dyDescent="0.2">
      <c r="A159">
        <v>158</v>
      </c>
      <c r="B159" t="s">
        <v>206</v>
      </c>
      <c r="C159">
        <v>0</v>
      </c>
      <c r="H159" t="s">
        <v>206</v>
      </c>
      <c r="I159" t="s">
        <v>158</v>
      </c>
      <c r="Q159" t="s">
        <v>206</v>
      </c>
      <c r="R159">
        <v>22.434131499999999</v>
      </c>
      <c r="S159">
        <v>6</v>
      </c>
      <c r="T159">
        <v>130</v>
      </c>
      <c r="V159">
        <v>0</v>
      </c>
      <c r="W159">
        <v>0</v>
      </c>
      <c r="X159" t="s">
        <v>206</v>
      </c>
      <c r="Y159">
        <v>-1</v>
      </c>
      <c r="Z159">
        <v>6</v>
      </c>
      <c r="AA159">
        <v>22.43</v>
      </c>
      <c r="AB159">
        <v>130</v>
      </c>
      <c r="AC159">
        <v>45.15</v>
      </c>
      <c r="AD159">
        <v>0.51</v>
      </c>
      <c r="AE159">
        <v>0.01</v>
      </c>
      <c r="AF159">
        <v>0.24</v>
      </c>
      <c r="AG159">
        <v>1</v>
      </c>
      <c r="AH159">
        <v>45.15</v>
      </c>
      <c r="AI159">
        <v>45.15</v>
      </c>
      <c r="AJ159">
        <v>45.15</v>
      </c>
      <c r="AK159">
        <v>0.51</v>
      </c>
      <c r="AL159">
        <v>0.51</v>
      </c>
      <c r="AM159">
        <v>0.51</v>
      </c>
      <c r="AN159">
        <v>0.01</v>
      </c>
      <c r="AO159">
        <v>0.01</v>
      </c>
      <c r="AP159">
        <v>0.01</v>
      </c>
      <c r="AQ159">
        <v>22.434131499999999</v>
      </c>
      <c r="AR159">
        <v>1</v>
      </c>
      <c r="AS159">
        <v>158</v>
      </c>
      <c r="AT159">
        <v>1</v>
      </c>
      <c r="AU159">
        <v>158</v>
      </c>
      <c r="AV159">
        <v>6</v>
      </c>
      <c r="AW159" t="s">
        <v>806</v>
      </c>
      <c r="AX159" t="s">
        <v>148</v>
      </c>
      <c r="AY159" t="s">
        <v>501</v>
      </c>
      <c r="AZ159">
        <v>875</v>
      </c>
      <c r="BA159" t="s">
        <v>807</v>
      </c>
      <c r="BB159">
        <v>1708</v>
      </c>
      <c r="BC159" t="s">
        <v>644</v>
      </c>
      <c r="BD159">
        <v>1950</v>
      </c>
      <c r="BE159">
        <v>1</v>
      </c>
      <c r="BF159">
        <v>250.8450914</v>
      </c>
    </row>
    <row r="160" spans="1:58" x14ac:dyDescent="0.2">
      <c r="A160">
        <v>159</v>
      </c>
      <c r="B160" t="s">
        <v>207</v>
      </c>
      <c r="C160">
        <v>0</v>
      </c>
      <c r="H160" t="s">
        <v>207</v>
      </c>
      <c r="I160" t="s">
        <v>148</v>
      </c>
      <c r="Q160" t="s">
        <v>207</v>
      </c>
      <c r="R160">
        <v>241.28951290000001</v>
      </c>
      <c r="S160">
        <v>6</v>
      </c>
      <c r="T160">
        <v>130</v>
      </c>
      <c r="V160">
        <v>0</v>
      </c>
      <c r="W160">
        <v>0</v>
      </c>
      <c r="X160" t="s">
        <v>207</v>
      </c>
      <c r="Y160">
        <v>-1</v>
      </c>
      <c r="Z160">
        <v>6</v>
      </c>
      <c r="AA160">
        <v>241.29</v>
      </c>
      <c r="AB160">
        <v>130</v>
      </c>
      <c r="AC160">
        <v>70.63</v>
      </c>
      <c r="AD160">
        <v>0.8</v>
      </c>
      <c r="AE160">
        <v>0.13</v>
      </c>
      <c r="AF160">
        <v>0.55000000000000004</v>
      </c>
      <c r="AG160">
        <v>1</v>
      </c>
      <c r="AH160">
        <v>70.63</v>
      </c>
      <c r="AI160">
        <v>70.63</v>
      </c>
      <c r="AJ160">
        <v>70.63</v>
      </c>
      <c r="AK160">
        <v>0.8</v>
      </c>
      <c r="AL160">
        <v>0.8</v>
      </c>
      <c r="AM160">
        <v>0.8</v>
      </c>
      <c r="AN160">
        <v>0.13</v>
      </c>
      <c r="AO160">
        <v>0.13</v>
      </c>
      <c r="AP160">
        <v>0.13</v>
      </c>
      <c r="AQ160">
        <v>241.28951290000001</v>
      </c>
      <c r="AR160">
        <v>1</v>
      </c>
      <c r="AS160">
        <v>159</v>
      </c>
      <c r="AT160">
        <v>1</v>
      </c>
      <c r="AU160">
        <v>159</v>
      </c>
      <c r="AV160">
        <v>6</v>
      </c>
      <c r="AW160" t="s">
        <v>806</v>
      </c>
      <c r="AX160" t="s">
        <v>148</v>
      </c>
      <c r="AY160" t="s">
        <v>501</v>
      </c>
      <c r="AZ160">
        <v>875</v>
      </c>
      <c r="BA160" t="s">
        <v>807</v>
      </c>
      <c r="BB160">
        <v>1708</v>
      </c>
      <c r="BC160" t="s">
        <v>644</v>
      </c>
      <c r="BD160">
        <v>1950</v>
      </c>
      <c r="BE160">
        <v>1</v>
      </c>
      <c r="BF160">
        <v>250.8450914</v>
      </c>
    </row>
    <row r="161" spans="1:58" x14ac:dyDescent="0.2">
      <c r="A161">
        <v>160</v>
      </c>
      <c r="B161" t="s">
        <v>208</v>
      </c>
      <c r="C161">
        <v>0</v>
      </c>
      <c r="H161" t="s">
        <v>208</v>
      </c>
      <c r="I161" t="s">
        <v>148</v>
      </c>
      <c r="Q161" t="s">
        <v>208</v>
      </c>
      <c r="R161">
        <v>81.994735759999998</v>
      </c>
      <c r="S161">
        <v>6</v>
      </c>
      <c r="T161">
        <v>130</v>
      </c>
      <c r="V161">
        <v>0</v>
      </c>
      <c r="W161">
        <v>0</v>
      </c>
      <c r="X161" t="s">
        <v>208</v>
      </c>
      <c r="Y161">
        <v>-1</v>
      </c>
      <c r="Z161">
        <v>6</v>
      </c>
      <c r="AA161">
        <v>81.99</v>
      </c>
      <c r="AB161">
        <v>130</v>
      </c>
      <c r="AC161">
        <v>71.040000000000006</v>
      </c>
      <c r="AD161">
        <v>0.81</v>
      </c>
      <c r="AE161">
        <v>0.05</v>
      </c>
      <c r="AF161">
        <v>0.55000000000000004</v>
      </c>
      <c r="AG161">
        <v>1</v>
      </c>
      <c r="AH161">
        <v>71.040000000000006</v>
      </c>
      <c r="AI161">
        <v>71.040000000000006</v>
      </c>
      <c r="AJ161">
        <v>71.040000000000006</v>
      </c>
      <c r="AK161">
        <v>0.81</v>
      </c>
      <c r="AL161">
        <v>0.81</v>
      </c>
      <c r="AM161">
        <v>0.81</v>
      </c>
      <c r="AN161">
        <v>0.05</v>
      </c>
      <c r="AO161">
        <v>0.05</v>
      </c>
      <c r="AP161">
        <v>0.05</v>
      </c>
      <c r="AQ161">
        <v>81.994735759999998</v>
      </c>
      <c r="AR161">
        <v>1</v>
      </c>
      <c r="AS161">
        <v>160</v>
      </c>
      <c r="AT161">
        <v>1</v>
      </c>
      <c r="AU161">
        <v>160</v>
      </c>
      <c r="AV161">
        <v>6</v>
      </c>
      <c r="AW161" t="s">
        <v>808</v>
      </c>
      <c r="AX161" t="s">
        <v>148</v>
      </c>
      <c r="AY161" t="s">
        <v>501</v>
      </c>
      <c r="AZ161">
        <v>1708</v>
      </c>
      <c r="BA161" t="s">
        <v>644</v>
      </c>
      <c r="BB161">
        <v>876</v>
      </c>
      <c r="BC161" t="s">
        <v>809</v>
      </c>
      <c r="BD161">
        <v>1950</v>
      </c>
      <c r="BE161">
        <v>1</v>
      </c>
      <c r="BF161">
        <v>106.7285744</v>
      </c>
    </row>
    <row r="162" spans="1:58" x14ac:dyDescent="0.2">
      <c r="A162">
        <v>161</v>
      </c>
      <c r="B162" t="s">
        <v>209</v>
      </c>
      <c r="C162">
        <v>0</v>
      </c>
      <c r="H162" t="s">
        <v>209</v>
      </c>
      <c r="I162" t="s">
        <v>148</v>
      </c>
      <c r="Q162" t="s">
        <v>209</v>
      </c>
      <c r="R162">
        <v>28.789905439999998</v>
      </c>
      <c r="S162">
        <v>6</v>
      </c>
      <c r="T162">
        <v>130</v>
      </c>
      <c r="V162">
        <v>0</v>
      </c>
      <c r="W162">
        <v>0</v>
      </c>
      <c r="X162" t="s">
        <v>209</v>
      </c>
      <c r="Y162">
        <v>-1</v>
      </c>
      <c r="Z162">
        <v>6</v>
      </c>
      <c r="AA162">
        <v>28.79</v>
      </c>
      <c r="AB162">
        <v>130</v>
      </c>
      <c r="AC162">
        <v>71.040000000000006</v>
      </c>
      <c r="AD162">
        <v>0.81</v>
      </c>
      <c r="AE162">
        <v>0.02</v>
      </c>
      <c r="AF162">
        <v>0.55000000000000004</v>
      </c>
      <c r="AG162">
        <v>1</v>
      </c>
      <c r="AH162">
        <v>71.040000000000006</v>
      </c>
      <c r="AI162">
        <v>71.040000000000006</v>
      </c>
      <c r="AJ162">
        <v>71.040000000000006</v>
      </c>
      <c r="AK162">
        <v>0.81</v>
      </c>
      <c r="AL162">
        <v>0.81</v>
      </c>
      <c r="AM162">
        <v>0.81</v>
      </c>
      <c r="AN162">
        <v>0.02</v>
      </c>
      <c r="AO162">
        <v>0.02</v>
      </c>
      <c r="AP162">
        <v>0.02</v>
      </c>
      <c r="AQ162">
        <v>28.789905439999998</v>
      </c>
      <c r="AR162">
        <v>1</v>
      </c>
      <c r="AS162">
        <v>161</v>
      </c>
      <c r="AT162">
        <v>1</v>
      </c>
      <c r="AU162">
        <v>161</v>
      </c>
      <c r="AV162">
        <v>8</v>
      </c>
      <c r="AW162" t="s">
        <v>810</v>
      </c>
      <c r="AX162" t="s">
        <v>158</v>
      </c>
      <c r="AY162" t="s">
        <v>501</v>
      </c>
      <c r="AZ162">
        <v>1707</v>
      </c>
      <c r="BA162" t="s">
        <v>641</v>
      </c>
      <c r="BB162">
        <v>876</v>
      </c>
      <c r="BC162" t="s">
        <v>809</v>
      </c>
      <c r="BD162">
        <v>1950</v>
      </c>
      <c r="BE162">
        <v>1</v>
      </c>
      <c r="BF162">
        <v>480.09897719999998</v>
      </c>
    </row>
    <row r="163" spans="1:58" x14ac:dyDescent="0.2">
      <c r="A163">
        <v>162</v>
      </c>
      <c r="B163" t="s">
        <v>210</v>
      </c>
      <c r="C163">
        <v>0</v>
      </c>
      <c r="H163" t="s">
        <v>210</v>
      </c>
      <c r="I163" t="s">
        <v>146</v>
      </c>
      <c r="Q163" t="s">
        <v>210</v>
      </c>
      <c r="R163">
        <v>33.465965250000004</v>
      </c>
      <c r="S163">
        <v>8</v>
      </c>
      <c r="T163">
        <v>130</v>
      </c>
      <c r="V163">
        <v>0</v>
      </c>
      <c r="W163">
        <v>0</v>
      </c>
      <c r="X163" t="s">
        <v>210</v>
      </c>
      <c r="Y163">
        <v>-1</v>
      </c>
      <c r="Z163">
        <v>8</v>
      </c>
      <c r="AA163">
        <v>33.47</v>
      </c>
      <c r="AB163">
        <v>130</v>
      </c>
      <c r="AC163">
        <v>26.03</v>
      </c>
      <c r="AD163">
        <v>0.17</v>
      </c>
      <c r="AE163">
        <v>0</v>
      </c>
      <c r="AF163">
        <v>0.02</v>
      </c>
      <c r="AG163">
        <v>1</v>
      </c>
      <c r="AH163">
        <v>26.03</v>
      </c>
      <c r="AI163">
        <v>26.03</v>
      </c>
      <c r="AJ163">
        <v>26.03</v>
      </c>
      <c r="AK163">
        <v>0.17</v>
      </c>
      <c r="AL163">
        <v>0.17</v>
      </c>
      <c r="AM163">
        <v>0.17</v>
      </c>
      <c r="AN163">
        <v>0</v>
      </c>
      <c r="AO163">
        <v>0</v>
      </c>
      <c r="AP163">
        <v>0</v>
      </c>
      <c r="AQ163">
        <v>33.465965250000004</v>
      </c>
      <c r="AR163">
        <v>1</v>
      </c>
      <c r="AS163">
        <v>162</v>
      </c>
      <c r="AT163">
        <v>1</v>
      </c>
      <c r="AU163">
        <v>162</v>
      </c>
      <c r="AV163">
        <v>8</v>
      </c>
      <c r="AW163" t="s">
        <v>811</v>
      </c>
      <c r="AX163" t="s">
        <v>146</v>
      </c>
      <c r="AY163" t="s">
        <v>501</v>
      </c>
      <c r="AZ163">
        <v>876</v>
      </c>
      <c r="BA163" t="s">
        <v>809</v>
      </c>
      <c r="BB163">
        <v>1743</v>
      </c>
      <c r="BC163" t="s">
        <v>730</v>
      </c>
      <c r="BD163">
        <v>1980</v>
      </c>
      <c r="BE163">
        <v>1</v>
      </c>
      <c r="BF163">
        <v>402.43883349999999</v>
      </c>
    </row>
    <row r="164" spans="1:58" x14ac:dyDescent="0.2">
      <c r="A164">
        <v>163</v>
      </c>
      <c r="B164" t="s">
        <v>211</v>
      </c>
      <c r="C164">
        <v>0</v>
      </c>
      <c r="H164" t="s">
        <v>211</v>
      </c>
      <c r="I164" t="s">
        <v>146</v>
      </c>
      <c r="Q164" t="s">
        <v>211</v>
      </c>
      <c r="R164">
        <v>363.65861699999999</v>
      </c>
      <c r="S164">
        <v>8</v>
      </c>
      <c r="T164">
        <v>130</v>
      </c>
      <c r="V164">
        <v>0</v>
      </c>
      <c r="W164">
        <v>0</v>
      </c>
      <c r="X164" t="s">
        <v>211</v>
      </c>
      <c r="Y164">
        <v>-1</v>
      </c>
      <c r="Z164">
        <v>8</v>
      </c>
      <c r="AA164">
        <v>363.66</v>
      </c>
      <c r="AB164">
        <v>130</v>
      </c>
      <c r="AC164">
        <v>26.03</v>
      </c>
      <c r="AD164">
        <v>0.17</v>
      </c>
      <c r="AE164">
        <v>0.01</v>
      </c>
      <c r="AF164">
        <v>0.02</v>
      </c>
      <c r="AG164">
        <v>1</v>
      </c>
      <c r="AH164">
        <v>26.03</v>
      </c>
      <c r="AI164">
        <v>26.03</v>
      </c>
      <c r="AJ164">
        <v>26.03</v>
      </c>
      <c r="AK164">
        <v>0.17</v>
      </c>
      <c r="AL164">
        <v>0.17</v>
      </c>
      <c r="AM164">
        <v>0.17</v>
      </c>
      <c r="AN164">
        <v>0.01</v>
      </c>
      <c r="AO164">
        <v>0.01</v>
      </c>
      <c r="AP164">
        <v>0.01</v>
      </c>
      <c r="AQ164">
        <v>363.65861699999999</v>
      </c>
      <c r="AR164">
        <v>1</v>
      </c>
      <c r="AS164">
        <v>163</v>
      </c>
      <c r="AT164">
        <v>1</v>
      </c>
      <c r="AU164">
        <v>163</v>
      </c>
      <c r="AV164">
        <v>8</v>
      </c>
      <c r="AW164" t="s">
        <v>811</v>
      </c>
      <c r="AX164" t="s">
        <v>146</v>
      </c>
      <c r="AY164" t="s">
        <v>501</v>
      </c>
      <c r="AZ164">
        <v>876</v>
      </c>
      <c r="BA164" t="s">
        <v>809</v>
      </c>
      <c r="BB164">
        <v>1743</v>
      </c>
      <c r="BC164" t="s">
        <v>730</v>
      </c>
      <c r="BD164">
        <v>1980</v>
      </c>
      <c r="BE164">
        <v>1</v>
      </c>
      <c r="BF164">
        <v>402.43883349999999</v>
      </c>
    </row>
    <row r="165" spans="1:58" x14ac:dyDescent="0.2">
      <c r="A165">
        <v>164</v>
      </c>
      <c r="B165" t="s">
        <v>212</v>
      </c>
      <c r="C165">
        <v>0</v>
      </c>
      <c r="H165" t="s">
        <v>212</v>
      </c>
      <c r="I165" t="s">
        <v>146</v>
      </c>
      <c r="Q165" t="s">
        <v>212</v>
      </c>
      <c r="R165">
        <v>606.32443990000002</v>
      </c>
      <c r="S165">
        <v>8</v>
      </c>
      <c r="T165">
        <v>130</v>
      </c>
      <c r="V165">
        <v>0</v>
      </c>
      <c r="W165">
        <v>0</v>
      </c>
      <c r="X165" t="s">
        <v>212</v>
      </c>
      <c r="Y165">
        <v>-1</v>
      </c>
      <c r="Z165">
        <v>8</v>
      </c>
      <c r="AA165">
        <v>606.32000000000005</v>
      </c>
      <c r="AB165">
        <v>130</v>
      </c>
      <c r="AC165">
        <v>27.97</v>
      </c>
      <c r="AD165">
        <v>0.18</v>
      </c>
      <c r="AE165">
        <v>0.01</v>
      </c>
      <c r="AF165">
        <v>0.02</v>
      </c>
      <c r="AG165">
        <v>1</v>
      </c>
      <c r="AH165">
        <v>27.97</v>
      </c>
      <c r="AI165">
        <v>27.97</v>
      </c>
      <c r="AJ165">
        <v>27.97</v>
      </c>
      <c r="AK165">
        <v>0.18</v>
      </c>
      <c r="AL165">
        <v>0.18</v>
      </c>
      <c r="AM165">
        <v>0.18</v>
      </c>
      <c r="AN165">
        <v>0.01</v>
      </c>
      <c r="AO165">
        <v>0.01</v>
      </c>
      <c r="AP165">
        <v>0.01</v>
      </c>
      <c r="AQ165">
        <v>606.32443990000002</v>
      </c>
      <c r="AR165">
        <v>1</v>
      </c>
      <c r="AS165">
        <v>164</v>
      </c>
      <c r="AT165">
        <v>1</v>
      </c>
      <c r="AU165">
        <v>164</v>
      </c>
      <c r="AV165">
        <v>8</v>
      </c>
      <c r="AW165" t="s">
        <v>729</v>
      </c>
      <c r="AX165" t="s">
        <v>146</v>
      </c>
      <c r="AY165" t="s">
        <v>501</v>
      </c>
      <c r="AZ165">
        <v>1743</v>
      </c>
      <c r="BA165" t="s">
        <v>730</v>
      </c>
      <c r="BB165">
        <v>980</v>
      </c>
      <c r="BC165" t="s">
        <v>731</v>
      </c>
      <c r="BD165">
        <v>1980</v>
      </c>
      <c r="BE165">
        <v>1</v>
      </c>
      <c r="BF165">
        <v>606.32458650000001</v>
      </c>
    </row>
    <row r="166" spans="1:58" x14ac:dyDescent="0.2">
      <c r="A166">
        <v>165</v>
      </c>
      <c r="B166" t="s">
        <v>213</v>
      </c>
      <c r="C166">
        <v>0</v>
      </c>
      <c r="H166" t="s">
        <v>213</v>
      </c>
      <c r="I166" t="s">
        <v>146</v>
      </c>
      <c r="Q166" t="s">
        <v>213</v>
      </c>
      <c r="R166">
        <v>524.07993160000001</v>
      </c>
      <c r="S166">
        <v>8</v>
      </c>
      <c r="T166">
        <v>130</v>
      </c>
      <c r="V166">
        <v>0</v>
      </c>
      <c r="W166">
        <v>0</v>
      </c>
      <c r="X166" t="s">
        <v>213</v>
      </c>
      <c r="Y166">
        <v>-1</v>
      </c>
      <c r="Z166">
        <v>8</v>
      </c>
      <c r="AA166">
        <v>524.08000000000004</v>
      </c>
      <c r="AB166">
        <v>130</v>
      </c>
      <c r="AC166">
        <v>22.41</v>
      </c>
      <c r="AD166">
        <v>0.14000000000000001</v>
      </c>
      <c r="AE166">
        <v>0.01</v>
      </c>
      <c r="AF166">
        <v>0.02</v>
      </c>
      <c r="AG166">
        <v>1</v>
      </c>
      <c r="AH166">
        <v>22.41</v>
      </c>
      <c r="AI166">
        <v>22.41</v>
      </c>
      <c r="AJ166">
        <v>22.41</v>
      </c>
      <c r="AK166">
        <v>0.14000000000000001</v>
      </c>
      <c r="AL166">
        <v>0.14000000000000001</v>
      </c>
      <c r="AM166">
        <v>0.14000000000000001</v>
      </c>
      <c r="AN166">
        <v>0.01</v>
      </c>
      <c r="AO166">
        <v>0.01</v>
      </c>
      <c r="AP166">
        <v>0.01</v>
      </c>
      <c r="AQ166">
        <v>524.07993160000001</v>
      </c>
      <c r="AR166">
        <v>1</v>
      </c>
      <c r="AS166">
        <v>165</v>
      </c>
      <c r="AT166">
        <v>1</v>
      </c>
      <c r="AU166">
        <v>165</v>
      </c>
      <c r="AV166">
        <v>8</v>
      </c>
      <c r="AW166" t="s">
        <v>812</v>
      </c>
      <c r="AX166" t="s">
        <v>146</v>
      </c>
      <c r="AY166" t="s">
        <v>501</v>
      </c>
      <c r="AZ166">
        <v>980</v>
      </c>
      <c r="BA166" t="s">
        <v>731</v>
      </c>
      <c r="BB166">
        <v>935</v>
      </c>
      <c r="BC166" t="s">
        <v>813</v>
      </c>
      <c r="BD166">
        <v>1980</v>
      </c>
      <c r="BE166">
        <v>1</v>
      </c>
      <c r="BF166">
        <v>524.07987030000004</v>
      </c>
    </row>
    <row r="167" spans="1:58" x14ac:dyDescent="0.2">
      <c r="A167">
        <v>166</v>
      </c>
      <c r="B167" t="s">
        <v>214</v>
      </c>
      <c r="C167">
        <v>0</v>
      </c>
      <c r="H167" t="s">
        <v>214</v>
      </c>
      <c r="I167" t="s">
        <v>146</v>
      </c>
      <c r="Q167" t="s">
        <v>214</v>
      </c>
      <c r="R167">
        <v>204.64589040000001</v>
      </c>
      <c r="S167">
        <v>8</v>
      </c>
      <c r="T167">
        <v>130</v>
      </c>
      <c r="V167">
        <v>0</v>
      </c>
      <c r="W167">
        <v>0</v>
      </c>
      <c r="X167" t="s">
        <v>214</v>
      </c>
      <c r="Y167">
        <v>-1</v>
      </c>
      <c r="Z167">
        <v>8</v>
      </c>
      <c r="AA167">
        <v>204.65</v>
      </c>
      <c r="AB167">
        <v>130</v>
      </c>
      <c r="AC167">
        <v>30.47</v>
      </c>
      <c r="AD167">
        <v>0.19</v>
      </c>
      <c r="AE167">
        <v>0.01</v>
      </c>
      <c r="AF167">
        <v>0.03</v>
      </c>
      <c r="AG167">
        <v>1</v>
      </c>
      <c r="AH167">
        <v>30.47</v>
      </c>
      <c r="AI167">
        <v>30.47</v>
      </c>
      <c r="AJ167">
        <v>30.47</v>
      </c>
      <c r="AK167">
        <v>0.19</v>
      </c>
      <c r="AL167">
        <v>0.19</v>
      </c>
      <c r="AM167">
        <v>0.19</v>
      </c>
      <c r="AN167">
        <v>0.01</v>
      </c>
      <c r="AO167">
        <v>0.01</v>
      </c>
      <c r="AP167">
        <v>0.01</v>
      </c>
      <c r="AQ167">
        <v>204.64589040000001</v>
      </c>
      <c r="AR167">
        <v>1</v>
      </c>
      <c r="AS167">
        <v>166</v>
      </c>
      <c r="AT167">
        <v>1</v>
      </c>
      <c r="AU167">
        <v>166</v>
      </c>
      <c r="AV167">
        <v>8</v>
      </c>
      <c r="AW167" t="s">
        <v>814</v>
      </c>
      <c r="AX167" t="s">
        <v>146</v>
      </c>
      <c r="AY167" t="s">
        <v>501</v>
      </c>
      <c r="AZ167">
        <v>935</v>
      </c>
      <c r="BA167" t="s">
        <v>813</v>
      </c>
      <c r="BB167">
        <v>1746</v>
      </c>
      <c r="BC167" t="s">
        <v>743</v>
      </c>
      <c r="BD167">
        <v>1980</v>
      </c>
      <c r="BE167">
        <v>1</v>
      </c>
      <c r="BF167">
        <v>204.64613990000001</v>
      </c>
    </row>
    <row r="168" spans="1:58" x14ac:dyDescent="0.2">
      <c r="A168">
        <v>167</v>
      </c>
      <c r="B168" t="s">
        <v>215</v>
      </c>
      <c r="C168">
        <v>0</v>
      </c>
      <c r="H168" t="s">
        <v>215</v>
      </c>
      <c r="I168" t="s">
        <v>146</v>
      </c>
      <c r="Q168" t="s">
        <v>215</v>
      </c>
      <c r="R168">
        <v>730.12972219999995</v>
      </c>
      <c r="S168">
        <v>8</v>
      </c>
      <c r="T168">
        <v>130</v>
      </c>
      <c r="V168">
        <v>0</v>
      </c>
      <c r="W168">
        <v>0</v>
      </c>
      <c r="X168" t="s">
        <v>215</v>
      </c>
      <c r="Y168">
        <v>-1</v>
      </c>
      <c r="Z168">
        <v>8</v>
      </c>
      <c r="AA168">
        <v>730.13</v>
      </c>
      <c r="AB168">
        <v>130</v>
      </c>
      <c r="AC168">
        <v>32.840000000000003</v>
      </c>
      <c r="AD168">
        <v>0.21</v>
      </c>
      <c r="AE168">
        <v>0.02</v>
      </c>
      <c r="AF168">
        <v>0.03</v>
      </c>
      <c r="AG168">
        <v>1</v>
      </c>
      <c r="AH168">
        <v>32.840000000000003</v>
      </c>
      <c r="AI168">
        <v>32.840000000000003</v>
      </c>
      <c r="AJ168">
        <v>32.840000000000003</v>
      </c>
      <c r="AK168">
        <v>0.21</v>
      </c>
      <c r="AL168">
        <v>0.21</v>
      </c>
      <c r="AM168">
        <v>0.21</v>
      </c>
      <c r="AN168">
        <v>0.02</v>
      </c>
      <c r="AO168">
        <v>0.02</v>
      </c>
      <c r="AP168">
        <v>0.02</v>
      </c>
      <c r="AQ168">
        <v>730.12972219999995</v>
      </c>
      <c r="AR168">
        <v>1</v>
      </c>
      <c r="AS168">
        <v>167</v>
      </c>
      <c r="AT168">
        <v>1</v>
      </c>
      <c r="AU168">
        <v>167</v>
      </c>
      <c r="AV168">
        <v>6</v>
      </c>
      <c r="AW168" t="s">
        <v>741</v>
      </c>
      <c r="AX168" t="s">
        <v>45</v>
      </c>
      <c r="AY168" t="s">
        <v>501</v>
      </c>
      <c r="AZ168">
        <v>1593</v>
      </c>
      <c r="BA168" t="s">
        <v>742</v>
      </c>
      <c r="BB168">
        <v>1746</v>
      </c>
      <c r="BC168" t="s">
        <v>743</v>
      </c>
      <c r="BD168">
        <v>1980</v>
      </c>
      <c r="BE168">
        <v>0</v>
      </c>
      <c r="BF168">
        <v>538.53208389999998</v>
      </c>
    </row>
    <row r="169" spans="1:58" x14ac:dyDescent="0.2">
      <c r="A169">
        <v>168</v>
      </c>
      <c r="B169" t="s">
        <v>216</v>
      </c>
      <c r="C169">
        <v>0</v>
      </c>
      <c r="H169" t="s">
        <v>216</v>
      </c>
      <c r="I169" t="s">
        <v>146</v>
      </c>
      <c r="Q169" t="s">
        <v>216</v>
      </c>
      <c r="R169">
        <v>20.376255780000001</v>
      </c>
      <c r="S169">
        <v>8</v>
      </c>
      <c r="T169">
        <v>130</v>
      </c>
      <c r="V169">
        <v>0</v>
      </c>
      <c r="W169">
        <v>0</v>
      </c>
      <c r="X169" t="s">
        <v>216</v>
      </c>
      <c r="Y169">
        <v>-1</v>
      </c>
      <c r="Z169">
        <v>8</v>
      </c>
      <c r="AA169">
        <v>20.38</v>
      </c>
      <c r="AB169">
        <v>130</v>
      </c>
      <c r="AC169">
        <v>32.840000000000003</v>
      </c>
      <c r="AD169">
        <v>0.21</v>
      </c>
      <c r="AE169">
        <v>0</v>
      </c>
      <c r="AF169">
        <v>0.03</v>
      </c>
      <c r="AG169">
        <v>1</v>
      </c>
      <c r="AH169">
        <v>32.840000000000003</v>
      </c>
      <c r="AI169">
        <v>32.840000000000003</v>
      </c>
      <c r="AJ169">
        <v>32.840000000000003</v>
      </c>
      <c r="AK169">
        <v>0.21</v>
      </c>
      <c r="AL169">
        <v>0.21</v>
      </c>
      <c r="AM169">
        <v>0.21</v>
      </c>
      <c r="AN169">
        <v>0</v>
      </c>
      <c r="AO169">
        <v>0</v>
      </c>
      <c r="AP169">
        <v>0</v>
      </c>
      <c r="AQ169">
        <v>20.376255780000001</v>
      </c>
      <c r="AR169">
        <v>1</v>
      </c>
      <c r="AS169">
        <v>168</v>
      </c>
      <c r="AT169">
        <v>1</v>
      </c>
      <c r="AU169">
        <v>168</v>
      </c>
      <c r="AV169">
        <v>6</v>
      </c>
      <c r="AW169" t="s">
        <v>815</v>
      </c>
      <c r="AX169" t="s">
        <v>45</v>
      </c>
      <c r="AY169" t="s">
        <v>501</v>
      </c>
      <c r="AZ169">
        <v>1057</v>
      </c>
      <c r="BA169" t="s">
        <v>816</v>
      </c>
      <c r="BB169">
        <v>45208</v>
      </c>
      <c r="BC169" t="s">
        <v>817</v>
      </c>
      <c r="BD169">
        <v>1980</v>
      </c>
      <c r="BE169">
        <v>1</v>
      </c>
      <c r="BF169">
        <v>315.04957180000002</v>
      </c>
    </row>
    <row r="170" spans="1:58" x14ac:dyDescent="0.2">
      <c r="A170">
        <v>169</v>
      </c>
      <c r="B170" t="s">
        <v>217</v>
      </c>
      <c r="C170">
        <v>0</v>
      </c>
      <c r="H170" t="s">
        <v>217</v>
      </c>
      <c r="I170" t="s">
        <v>158</v>
      </c>
      <c r="Q170" t="s">
        <v>217</v>
      </c>
      <c r="R170">
        <v>26.929184039999999</v>
      </c>
      <c r="S170">
        <v>8</v>
      </c>
      <c r="T170">
        <v>130</v>
      </c>
      <c r="V170">
        <v>0</v>
      </c>
      <c r="W170">
        <v>0</v>
      </c>
      <c r="X170" t="s">
        <v>217</v>
      </c>
      <c r="Y170">
        <v>-1</v>
      </c>
      <c r="Z170">
        <v>8</v>
      </c>
      <c r="AA170">
        <v>26.93</v>
      </c>
      <c r="AB170">
        <v>130</v>
      </c>
      <c r="AC170">
        <v>72.81</v>
      </c>
      <c r="AD170">
        <v>0.46</v>
      </c>
      <c r="AE170">
        <v>0</v>
      </c>
      <c r="AF170">
        <v>0.14000000000000001</v>
      </c>
      <c r="AG170">
        <v>1</v>
      </c>
      <c r="AH170">
        <v>72.81</v>
      </c>
      <c r="AI170">
        <v>72.81</v>
      </c>
      <c r="AJ170">
        <v>72.81</v>
      </c>
      <c r="AK170">
        <v>0.46</v>
      </c>
      <c r="AL170">
        <v>0.46</v>
      </c>
      <c r="AM170">
        <v>0.46</v>
      </c>
      <c r="AN170">
        <v>0</v>
      </c>
      <c r="AO170">
        <v>0</v>
      </c>
      <c r="AP170">
        <v>0</v>
      </c>
      <c r="AQ170">
        <v>26.929184039999999</v>
      </c>
      <c r="AR170">
        <v>0</v>
      </c>
      <c r="AS170">
        <v>169</v>
      </c>
      <c r="AT170">
        <v>1</v>
      </c>
      <c r="AU170">
        <v>169</v>
      </c>
      <c r="AV170">
        <v>8</v>
      </c>
      <c r="AW170" t="s">
        <v>818</v>
      </c>
      <c r="AX170" t="s">
        <v>158</v>
      </c>
      <c r="AY170" t="s">
        <v>501</v>
      </c>
      <c r="AZ170">
        <v>1029</v>
      </c>
      <c r="BA170" t="s">
        <v>819</v>
      </c>
      <c r="BB170">
        <v>1704</v>
      </c>
      <c r="BC170" t="s">
        <v>629</v>
      </c>
      <c r="BD170">
        <v>1950</v>
      </c>
      <c r="BE170">
        <v>0</v>
      </c>
      <c r="BF170">
        <v>249.04446239999999</v>
      </c>
    </row>
    <row r="171" spans="1:58" x14ac:dyDescent="0.2">
      <c r="A171">
        <v>170</v>
      </c>
      <c r="B171" t="s">
        <v>218</v>
      </c>
      <c r="C171">
        <v>0</v>
      </c>
      <c r="H171" t="s">
        <v>218</v>
      </c>
      <c r="I171" t="s">
        <v>158</v>
      </c>
      <c r="Q171" t="s">
        <v>218</v>
      </c>
      <c r="R171">
        <v>222.11533080000001</v>
      </c>
      <c r="S171">
        <v>8</v>
      </c>
      <c r="T171">
        <v>130</v>
      </c>
      <c r="V171">
        <v>0</v>
      </c>
      <c r="W171">
        <v>0</v>
      </c>
      <c r="X171" t="s">
        <v>218</v>
      </c>
      <c r="Y171">
        <v>-1</v>
      </c>
      <c r="Z171">
        <v>8</v>
      </c>
      <c r="AA171">
        <v>222.12</v>
      </c>
      <c r="AB171">
        <v>130</v>
      </c>
      <c r="AC171">
        <v>72.81</v>
      </c>
      <c r="AD171">
        <v>0.46</v>
      </c>
      <c r="AE171">
        <v>0.03</v>
      </c>
      <c r="AF171">
        <v>0.14000000000000001</v>
      </c>
      <c r="AG171">
        <v>1</v>
      </c>
      <c r="AH171">
        <v>72.81</v>
      </c>
      <c r="AI171">
        <v>72.81</v>
      </c>
      <c r="AJ171">
        <v>72.81</v>
      </c>
      <c r="AK171">
        <v>0.46</v>
      </c>
      <c r="AL171">
        <v>0.46</v>
      </c>
      <c r="AM171">
        <v>0.46</v>
      </c>
      <c r="AN171">
        <v>0.03</v>
      </c>
      <c r="AO171">
        <v>0.03</v>
      </c>
      <c r="AP171">
        <v>0.03</v>
      </c>
      <c r="AQ171">
        <v>222.11533080000001</v>
      </c>
      <c r="AR171">
        <v>0</v>
      </c>
      <c r="AS171">
        <v>170</v>
      </c>
      <c r="AT171">
        <v>1</v>
      </c>
      <c r="AU171">
        <v>170</v>
      </c>
      <c r="AV171">
        <v>8</v>
      </c>
      <c r="AW171" t="s">
        <v>818</v>
      </c>
      <c r="AX171" t="s">
        <v>158</v>
      </c>
      <c r="AY171" t="s">
        <v>501</v>
      </c>
      <c r="AZ171">
        <v>1029</v>
      </c>
      <c r="BA171" t="s">
        <v>819</v>
      </c>
      <c r="BB171">
        <v>1704</v>
      </c>
      <c r="BC171" t="s">
        <v>629</v>
      </c>
      <c r="BD171">
        <v>1950</v>
      </c>
      <c r="BE171">
        <v>0</v>
      </c>
      <c r="BF171">
        <v>249.04446239999999</v>
      </c>
    </row>
    <row r="172" spans="1:58" x14ac:dyDescent="0.2">
      <c r="A172">
        <v>171</v>
      </c>
      <c r="B172" t="s">
        <v>219</v>
      </c>
      <c r="C172">
        <v>0</v>
      </c>
      <c r="H172" t="s">
        <v>219</v>
      </c>
      <c r="I172" t="s">
        <v>158</v>
      </c>
      <c r="Q172" t="s">
        <v>219</v>
      </c>
      <c r="R172">
        <v>67.193306089999993</v>
      </c>
      <c r="S172">
        <v>8</v>
      </c>
      <c r="T172">
        <v>130</v>
      </c>
      <c r="V172">
        <v>0</v>
      </c>
      <c r="W172">
        <v>0</v>
      </c>
      <c r="X172" t="s">
        <v>219</v>
      </c>
      <c r="Y172">
        <v>-1</v>
      </c>
      <c r="Z172">
        <v>8</v>
      </c>
      <c r="AA172">
        <v>67.19</v>
      </c>
      <c r="AB172">
        <v>130</v>
      </c>
      <c r="AC172">
        <v>72.819999999999993</v>
      </c>
      <c r="AD172">
        <v>0.46</v>
      </c>
      <c r="AE172">
        <v>0.01</v>
      </c>
      <c r="AF172">
        <v>0.14000000000000001</v>
      </c>
      <c r="AG172">
        <v>1</v>
      </c>
      <c r="AH172">
        <v>72.819999999999993</v>
      </c>
      <c r="AI172">
        <v>72.819999999999993</v>
      </c>
      <c r="AJ172">
        <v>72.819999999999993</v>
      </c>
      <c r="AK172">
        <v>0.46</v>
      </c>
      <c r="AL172">
        <v>0.46</v>
      </c>
      <c r="AM172">
        <v>0.46</v>
      </c>
      <c r="AN172">
        <v>0.01</v>
      </c>
      <c r="AO172">
        <v>0.01</v>
      </c>
      <c r="AP172">
        <v>0.01</v>
      </c>
      <c r="AQ172">
        <v>67.193306089999993</v>
      </c>
      <c r="AR172">
        <v>0</v>
      </c>
      <c r="AS172">
        <v>171</v>
      </c>
      <c r="AT172">
        <v>1</v>
      </c>
      <c r="AU172">
        <v>171</v>
      </c>
      <c r="AV172">
        <v>6</v>
      </c>
      <c r="AW172" t="s">
        <v>627</v>
      </c>
      <c r="AX172" t="s">
        <v>45</v>
      </c>
      <c r="AY172" t="s">
        <v>501</v>
      </c>
      <c r="AZ172">
        <v>1548</v>
      </c>
      <c r="BA172" t="s">
        <v>628</v>
      </c>
      <c r="BB172">
        <v>1704</v>
      </c>
      <c r="BC172" t="s">
        <v>629</v>
      </c>
      <c r="BD172">
        <v>1930</v>
      </c>
      <c r="BE172">
        <v>0</v>
      </c>
      <c r="BF172">
        <v>1.872084098</v>
      </c>
    </row>
    <row r="173" spans="1:58" x14ac:dyDescent="0.2">
      <c r="A173">
        <v>172</v>
      </c>
      <c r="B173" t="s">
        <v>220</v>
      </c>
      <c r="C173">
        <v>0</v>
      </c>
      <c r="H173" t="s">
        <v>220</v>
      </c>
      <c r="I173" t="s">
        <v>158</v>
      </c>
      <c r="Q173" t="s">
        <v>220</v>
      </c>
      <c r="R173">
        <v>1129.798196</v>
      </c>
      <c r="S173">
        <v>8</v>
      </c>
      <c r="T173">
        <v>130</v>
      </c>
      <c r="V173">
        <v>0</v>
      </c>
      <c r="W173">
        <v>0</v>
      </c>
      <c r="X173" t="s">
        <v>220</v>
      </c>
      <c r="Y173">
        <v>-1</v>
      </c>
      <c r="Z173">
        <v>8</v>
      </c>
      <c r="AA173">
        <v>1129.8</v>
      </c>
      <c r="AB173">
        <v>130</v>
      </c>
      <c r="AC173">
        <v>72.819999999999993</v>
      </c>
      <c r="AD173">
        <v>0.46</v>
      </c>
      <c r="AE173">
        <v>0.16</v>
      </c>
      <c r="AF173">
        <v>0.14000000000000001</v>
      </c>
      <c r="AG173">
        <v>1</v>
      </c>
      <c r="AH173">
        <v>72.819999999999993</v>
      </c>
      <c r="AI173">
        <v>72.819999999999993</v>
      </c>
      <c r="AJ173">
        <v>72.819999999999993</v>
      </c>
      <c r="AK173">
        <v>0.46</v>
      </c>
      <c r="AL173">
        <v>0.46</v>
      </c>
      <c r="AM173">
        <v>0.46</v>
      </c>
      <c r="AN173">
        <v>0.16</v>
      </c>
      <c r="AO173">
        <v>0.16</v>
      </c>
      <c r="AP173">
        <v>0.16</v>
      </c>
      <c r="AQ173">
        <v>1129.798196</v>
      </c>
      <c r="AR173">
        <v>0</v>
      </c>
      <c r="AS173">
        <v>172</v>
      </c>
      <c r="AT173">
        <v>1</v>
      </c>
      <c r="AU173">
        <v>172</v>
      </c>
      <c r="AV173">
        <v>8</v>
      </c>
      <c r="AW173" t="s">
        <v>639</v>
      </c>
      <c r="AX173" t="s">
        <v>158</v>
      </c>
      <c r="AY173" t="s">
        <v>501</v>
      </c>
      <c r="AZ173">
        <v>849</v>
      </c>
      <c r="BA173" t="s">
        <v>640</v>
      </c>
      <c r="BB173">
        <v>1707</v>
      </c>
      <c r="BC173" t="s">
        <v>641</v>
      </c>
      <c r="BD173">
        <v>1950</v>
      </c>
      <c r="BE173">
        <v>1</v>
      </c>
      <c r="BF173">
        <v>1199.7648790000001</v>
      </c>
    </row>
    <row r="174" spans="1:58" x14ac:dyDescent="0.2">
      <c r="A174">
        <v>173</v>
      </c>
      <c r="B174" t="s">
        <v>221</v>
      </c>
      <c r="C174">
        <v>0</v>
      </c>
      <c r="H174" t="s">
        <v>221</v>
      </c>
      <c r="I174" t="s">
        <v>158</v>
      </c>
      <c r="Q174" t="s">
        <v>221</v>
      </c>
      <c r="R174">
        <v>395.68442270000003</v>
      </c>
      <c r="S174">
        <v>8</v>
      </c>
      <c r="T174">
        <v>130</v>
      </c>
      <c r="V174">
        <v>0</v>
      </c>
      <c r="W174">
        <v>0</v>
      </c>
      <c r="X174" t="s">
        <v>221</v>
      </c>
      <c r="Y174">
        <v>-1</v>
      </c>
      <c r="Z174">
        <v>8</v>
      </c>
      <c r="AA174">
        <v>395.68</v>
      </c>
      <c r="AB174">
        <v>130</v>
      </c>
      <c r="AC174">
        <v>72.819999999999993</v>
      </c>
      <c r="AD174">
        <v>0.46</v>
      </c>
      <c r="AE174">
        <v>0.06</v>
      </c>
      <c r="AF174">
        <v>0.14000000000000001</v>
      </c>
      <c r="AG174">
        <v>1</v>
      </c>
      <c r="AH174">
        <v>72.819999999999993</v>
      </c>
      <c r="AI174">
        <v>72.819999999999993</v>
      </c>
      <c r="AJ174">
        <v>72.819999999999993</v>
      </c>
      <c r="AK174">
        <v>0.46</v>
      </c>
      <c r="AL174">
        <v>0.46</v>
      </c>
      <c r="AM174">
        <v>0.46</v>
      </c>
      <c r="AN174">
        <v>0.06</v>
      </c>
      <c r="AO174">
        <v>0.06</v>
      </c>
      <c r="AP174">
        <v>0.06</v>
      </c>
      <c r="AQ174">
        <v>395.68442270000003</v>
      </c>
      <c r="AR174">
        <v>0</v>
      </c>
      <c r="AS174">
        <v>173</v>
      </c>
      <c r="AT174">
        <v>1</v>
      </c>
      <c r="AU174">
        <v>173</v>
      </c>
      <c r="AV174">
        <v>8</v>
      </c>
      <c r="AW174" t="s">
        <v>810</v>
      </c>
      <c r="AX174" t="s">
        <v>158</v>
      </c>
      <c r="AY174" t="s">
        <v>501</v>
      </c>
      <c r="AZ174">
        <v>1707</v>
      </c>
      <c r="BA174" t="s">
        <v>641</v>
      </c>
      <c r="BB174">
        <v>876</v>
      </c>
      <c r="BC174" t="s">
        <v>809</v>
      </c>
      <c r="BD174">
        <v>1950</v>
      </c>
      <c r="BE174">
        <v>1</v>
      </c>
      <c r="BF174">
        <v>480.09897719999998</v>
      </c>
    </row>
    <row r="175" spans="1:58" x14ac:dyDescent="0.2">
      <c r="A175">
        <v>174</v>
      </c>
      <c r="B175" t="s">
        <v>222</v>
      </c>
      <c r="C175">
        <v>0</v>
      </c>
      <c r="H175" t="s">
        <v>222</v>
      </c>
      <c r="I175" t="s">
        <v>158</v>
      </c>
      <c r="Q175" t="s">
        <v>222</v>
      </c>
      <c r="R175">
        <v>71.960081020000004</v>
      </c>
      <c r="S175">
        <v>8</v>
      </c>
      <c r="T175">
        <v>130</v>
      </c>
      <c r="V175">
        <v>0</v>
      </c>
      <c r="W175">
        <v>0</v>
      </c>
      <c r="X175" t="s">
        <v>222</v>
      </c>
      <c r="Y175">
        <v>-1</v>
      </c>
      <c r="Z175">
        <v>8</v>
      </c>
      <c r="AA175">
        <v>71.959999999999994</v>
      </c>
      <c r="AB175">
        <v>130</v>
      </c>
      <c r="AC175">
        <v>72.819999999999993</v>
      </c>
      <c r="AD175">
        <v>0.46</v>
      </c>
      <c r="AE175">
        <v>0.01</v>
      </c>
      <c r="AF175">
        <v>0.14000000000000001</v>
      </c>
      <c r="AG175">
        <v>1</v>
      </c>
      <c r="AH175">
        <v>72.819999999999993</v>
      </c>
      <c r="AI175">
        <v>72.819999999999993</v>
      </c>
      <c r="AJ175">
        <v>72.819999999999993</v>
      </c>
      <c r="AK175">
        <v>0.46</v>
      </c>
      <c r="AL175">
        <v>0.46</v>
      </c>
      <c r="AM175">
        <v>0.46</v>
      </c>
      <c r="AN175">
        <v>0.01</v>
      </c>
      <c r="AO175">
        <v>0.01</v>
      </c>
      <c r="AP175">
        <v>0.01</v>
      </c>
      <c r="AQ175">
        <v>71.960081020000004</v>
      </c>
      <c r="AR175">
        <v>0</v>
      </c>
      <c r="AS175">
        <v>174</v>
      </c>
      <c r="AT175">
        <v>1</v>
      </c>
      <c r="AU175">
        <v>174</v>
      </c>
      <c r="AV175">
        <v>8</v>
      </c>
      <c r="AW175" t="s">
        <v>810</v>
      </c>
      <c r="AX175" t="s">
        <v>158</v>
      </c>
      <c r="AY175" t="s">
        <v>501</v>
      </c>
      <c r="AZ175">
        <v>1707</v>
      </c>
      <c r="BA175" t="s">
        <v>641</v>
      </c>
      <c r="BB175">
        <v>876</v>
      </c>
      <c r="BC175" t="s">
        <v>809</v>
      </c>
      <c r="BD175">
        <v>1950</v>
      </c>
      <c r="BE175">
        <v>1</v>
      </c>
      <c r="BF175">
        <v>480.09897719999998</v>
      </c>
    </row>
    <row r="176" spans="1:58" x14ac:dyDescent="0.2">
      <c r="A176">
        <v>175</v>
      </c>
      <c r="B176" t="s">
        <v>223</v>
      </c>
      <c r="C176">
        <v>0</v>
      </c>
      <c r="H176" t="s">
        <v>223</v>
      </c>
      <c r="I176" t="s">
        <v>148</v>
      </c>
      <c r="Q176" t="s">
        <v>223</v>
      </c>
      <c r="R176">
        <v>27.698200379999999</v>
      </c>
      <c r="S176">
        <v>6</v>
      </c>
      <c r="T176">
        <v>130</v>
      </c>
      <c r="V176">
        <v>0</v>
      </c>
      <c r="W176">
        <v>0</v>
      </c>
      <c r="X176" t="s">
        <v>223</v>
      </c>
      <c r="Y176">
        <v>-1</v>
      </c>
      <c r="Z176">
        <v>6</v>
      </c>
      <c r="AA176">
        <v>27.7</v>
      </c>
      <c r="AB176">
        <v>130</v>
      </c>
      <c r="AC176">
        <v>17.43</v>
      </c>
      <c r="AD176">
        <v>0.2</v>
      </c>
      <c r="AE176">
        <v>0</v>
      </c>
      <c r="AF176">
        <v>0.04</v>
      </c>
      <c r="AG176">
        <v>1</v>
      </c>
      <c r="AH176">
        <v>17.43</v>
      </c>
      <c r="AI176">
        <v>17.43</v>
      </c>
      <c r="AJ176">
        <v>17.43</v>
      </c>
      <c r="AK176">
        <v>0.2</v>
      </c>
      <c r="AL176">
        <v>0.2</v>
      </c>
      <c r="AM176">
        <v>0.2</v>
      </c>
      <c r="AN176">
        <v>0</v>
      </c>
      <c r="AO176">
        <v>0</v>
      </c>
      <c r="AP176">
        <v>0</v>
      </c>
      <c r="AQ176">
        <v>27.698200379999999</v>
      </c>
      <c r="AR176">
        <v>0</v>
      </c>
      <c r="AS176">
        <v>175</v>
      </c>
      <c r="AT176">
        <v>1</v>
      </c>
      <c r="AU176">
        <v>175</v>
      </c>
      <c r="AV176">
        <v>6</v>
      </c>
      <c r="AW176" t="s">
        <v>820</v>
      </c>
      <c r="AX176" t="s">
        <v>148</v>
      </c>
      <c r="AY176" t="s">
        <v>501</v>
      </c>
      <c r="AZ176">
        <v>851</v>
      </c>
      <c r="BA176" t="s">
        <v>795</v>
      </c>
      <c r="BB176">
        <v>953</v>
      </c>
      <c r="BC176" t="s">
        <v>821</v>
      </c>
      <c r="BD176">
        <v>1930</v>
      </c>
      <c r="BE176">
        <v>0</v>
      </c>
      <c r="BF176">
        <v>282.62345440000001</v>
      </c>
    </row>
    <row r="177" spans="1:58" x14ac:dyDescent="0.2">
      <c r="A177">
        <v>176</v>
      </c>
      <c r="B177" t="s">
        <v>224</v>
      </c>
      <c r="C177">
        <v>0</v>
      </c>
      <c r="H177" t="s">
        <v>224</v>
      </c>
      <c r="I177" t="s">
        <v>148</v>
      </c>
      <c r="Q177" t="s">
        <v>224</v>
      </c>
      <c r="R177">
        <v>254.925162</v>
      </c>
      <c r="S177">
        <v>6</v>
      </c>
      <c r="T177">
        <v>130</v>
      </c>
      <c r="V177">
        <v>0</v>
      </c>
      <c r="W177">
        <v>0</v>
      </c>
      <c r="X177" t="s">
        <v>224</v>
      </c>
      <c r="Y177">
        <v>-1</v>
      </c>
      <c r="Z177">
        <v>6</v>
      </c>
      <c r="AA177">
        <v>254.93</v>
      </c>
      <c r="AB177">
        <v>130</v>
      </c>
      <c r="AC177">
        <v>17.43</v>
      </c>
      <c r="AD177">
        <v>0.2</v>
      </c>
      <c r="AE177">
        <v>0.01</v>
      </c>
      <c r="AF177">
        <v>0.04</v>
      </c>
      <c r="AG177">
        <v>1</v>
      </c>
      <c r="AH177">
        <v>17.43</v>
      </c>
      <c r="AI177">
        <v>17.43</v>
      </c>
      <c r="AJ177">
        <v>17.43</v>
      </c>
      <c r="AK177">
        <v>0.2</v>
      </c>
      <c r="AL177">
        <v>0.2</v>
      </c>
      <c r="AM177">
        <v>0.2</v>
      </c>
      <c r="AN177">
        <v>0.01</v>
      </c>
      <c r="AO177">
        <v>0.01</v>
      </c>
      <c r="AP177">
        <v>0.01</v>
      </c>
      <c r="AQ177">
        <v>254.925162</v>
      </c>
      <c r="AR177">
        <v>0</v>
      </c>
      <c r="AS177">
        <v>176</v>
      </c>
      <c r="AT177">
        <v>1</v>
      </c>
      <c r="AU177">
        <v>176</v>
      </c>
      <c r="AV177">
        <v>6</v>
      </c>
      <c r="AW177" t="s">
        <v>820</v>
      </c>
      <c r="AX177" t="s">
        <v>148</v>
      </c>
      <c r="AY177" t="s">
        <v>501</v>
      </c>
      <c r="AZ177">
        <v>851</v>
      </c>
      <c r="BA177" t="s">
        <v>795</v>
      </c>
      <c r="BB177">
        <v>953</v>
      </c>
      <c r="BC177" t="s">
        <v>821</v>
      </c>
      <c r="BD177">
        <v>1930</v>
      </c>
      <c r="BE177">
        <v>0</v>
      </c>
      <c r="BF177">
        <v>282.62345440000001</v>
      </c>
    </row>
    <row r="178" spans="1:58" x14ac:dyDescent="0.2">
      <c r="A178">
        <v>177</v>
      </c>
      <c r="B178" t="s">
        <v>225</v>
      </c>
      <c r="C178">
        <v>0</v>
      </c>
      <c r="H178" t="s">
        <v>225</v>
      </c>
      <c r="I178" t="s">
        <v>148</v>
      </c>
      <c r="Q178" t="s">
        <v>225</v>
      </c>
      <c r="R178">
        <v>43.570652240000001</v>
      </c>
      <c r="S178">
        <v>6</v>
      </c>
      <c r="T178">
        <v>130</v>
      </c>
      <c r="V178">
        <v>0</v>
      </c>
      <c r="W178">
        <v>0</v>
      </c>
      <c r="X178" t="s">
        <v>225</v>
      </c>
      <c r="Y178">
        <v>-1</v>
      </c>
      <c r="Z178">
        <v>6</v>
      </c>
      <c r="AA178">
        <v>43.57</v>
      </c>
      <c r="AB178">
        <v>130</v>
      </c>
      <c r="AC178">
        <v>10.96</v>
      </c>
      <c r="AD178">
        <v>0.12</v>
      </c>
      <c r="AE178">
        <v>0</v>
      </c>
      <c r="AF178">
        <v>0.02</v>
      </c>
      <c r="AG178">
        <v>1</v>
      </c>
      <c r="AH178">
        <v>10.96</v>
      </c>
      <c r="AI178">
        <v>10.96</v>
      </c>
      <c r="AJ178">
        <v>10.96</v>
      </c>
      <c r="AK178">
        <v>0.12</v>
      </c>
      <c r="AL178">
        <v>0.12</v>
      </c>
      <c r="AM178">
        <v>0.12</v>
      </c>
      <c r="AN178">
        <v>0</v>
      </c>
      <c r="AO178">
        <v>0</v>
      </c>
      <c r="AP178">
        <v>0</v>
      </c>
      <c r="AQ178">
        <v>43.570652240000001</v>
      </c>
      <c r="AR178">
        <v>0</v>
      </c>
      <c r="AS178">
        <v>177</v>
      </c>
      <c r="AT178">
        <v>1</v>
      </c>
      <c r="AU178">
        <v>177</v>
      </c>
      <c r="AV178">
        <v>6</v>
      </c>
      <c r="AW178" t="s">
        <v>822</v>
      </c>
      <c r="AX178" t="s">
        <v>148</v>
      </c>
      <c r="AY178" t="s">
        <v>501</v>
      </c>
      <c r="AZ178">
        <v>953</v>
      </c>
      <c r="BA178" t="s">
        <v>821</v>
      </c>
      <c r="BB178">
        <v>902</v>
      </c>
      <c r="BC178" t="s">
        <v>823</v>
      </c>
      <c r="BD178">
        <v>1930</v>
      </c>
      <c r="BE178">
        <v>0</v>
      </c>
      <c r="BF178">
        <v>43.570787170000003</v>
      </c>
    </row>
    <row r="179" spans="1:58" x14ac:dyDescent="0.2">
      <c r="A179">
        <v>178</v>
      </c>
      <c r="B179" t="s">
        <v>226</v>
      </c>
      <c r="C179">
        <v>0</v>
      </c>
      <c r="H179" t="s">
        <v>226</v>
      </c>
      <c r="I179" t="s">
        <v>148</v>
      </c>
      <c r="Q179" t="s">
        <v>226</v>
      </c>
      <c r="R179">
        <v>18.737498259999999</v>
      </c>
      <c r="S179">
        <v>6</v>
      </c>
      <c r="T179">
        <v>130</v>
      </c>
      <c r="V179">
        <v>0</v>
      </c>
      <c r="W179">
        <v>0</v>
      </c>
      <c r="X179" t="s">
        <v>226</v>
      </c>
      <c r="Y179">
        <v>-1</v>
      </c>
      <c r="Z179">
        <v>6</v>
      </c>
      <c r="AA179">
        <v>18.739999999999998</v>
      </c>
      <c r="AB179">
        <v>130</v>
      </c>
      <c r="AC179">
        <v>11.1</v>
      </c>
      <c r="AD179">
        <v>0.13</v>
      </c>
      <c r="AE179">
        <v>0</v>
      </c>
      <c r="AF179">
        <v>0.02</v>
      </c>
      <c r="AG179">
        <v>1</v>
      </c>
      <c r="AH179">
        <v>11.1</v>
      </c>
      <c r="AI179">
        <v>11.1</v>
      </c>
      <c r="AJ179">
        <v>11.1</v>
      </c>
      <c r="AK179">
        <v>0.13</v>
      </c>
      <c r="AL179">
        <v>0.13</v>
      </c>
      <c r="AM179">
        <v>0.13</v>
      </c>
      <c r="AN179">
        <v>0</v>
      </c>
      <c r="AO179">
        <v>0</v>
      </c>
      <c r="AP179">
        <v>0</v>
      </c>
      <c r="AQ179">
        <v>18.737498259999999</v>
      </c>
      <c r="AR179">
        <v>0</v>
      </c>
      <c r="AS179">
        <v>178</v>
      </c>
      <c r="AT179">
        <v>1</v>
      </c>
      <c r="AU179">
        <v>178</v>
      </c>
      <c r="AV179">
        <v>6</v>
      </c>
      <c r="AW179" t="s">
        <v>822</v>
      </c>
      <c r="AX179" t="s">
        <v>148</v>
      </c>
      <c r="AY179" t="s">
        <v>501</v>
      </c>
      <c r="AZ179">
        <v>953</v>
      </c>
      <c r="BA179" t="s">
        <v>821</v>
      </c>
      <c r="BB179">
        <v>902</v>
      </c>
      <c r="BC179" t="s">
        <v>823</v>
      </c>
      <c r="BD179">
        <v>1930</v>
      </c>
      <c r="BE179">
        <v>0</v>
      </c>
      <c r="BF179">
        <v>43.570787170000003</v>
      </c>
    </row>
    <row r="180" spans="1:58" x14ac:dyDescent="0.2">
      <c r="A180">
        <v>179</v>
      </c>
      <c r="B180" t="s">
        <v>227</v>
      </c>
      <c r="C180">
        <v>0</v>
      </c>
      <c r="H180" t="s">
        <v>227</v>
      </c>
      <c r="I180" t="s">
        <v>148</v>
      </c>
      <c r="Q180" t="s">
        <v>227</v>
      </c>
      <c r="R180">
        <v>697.2017257</v>
      </c>
      <c r="S180">
        <v>6</v>
      </c>
      <c r="T180">
        <v>130</v>
      </c>
      <c r="V180">
        <v>0</v>
      </c>
      <c r="W180">
        <v>0</v>
      </c>
      <c r="X180" t="s">
        <v>227</v>
      </c>
      <c r="Y180">
        <v>-1</v>
      </c>
      <c r="Z180">
        <v>6</v>
      </c>
      <c r="AA180">
        <v>697.2</v>
      </c>
      <c r="AB180">
        <v>130</v>
      </c>
      <c r="AC180">
        <v>11.66</v>
      </c>
      <c r="AD180">
        <v>0.13</v>
      </c>
      <c r="AE180">
        <v>0.01</v>
      </c>
      <c r="AF180">
        <v>0.02</v>
      </c>
      <c r="AG180">
        <v>1</v>
      </c>
      <c r="AH180">
        <v>11.66</v>
      </c>
      <c r="AI180">
        <v>11.66</v>
      </c>
      <c r="AJ180">
        <v>11.66</v>
      </c>
      <c r="AK180">
        <v>0.13</v>
      </c>
      <c r="AL180">
        <v>0.13</v>
      </c>
      <c r="AM180">
        <v>0.13</v>
      </c>
      <c r="AN180">
        <v>0.01</v>
      </c>
      <c r="AO180">
        <v>0.01</v>
      </c>
      <c r="AP180">
        <v>0.01</v>
      </c>
      <c r="AQ180">
        <v>697.2017257</v>
      </c>
      <c r="AR180">
        <v>0</v>
      </c>
      <c r="AS180">
        <v>179</v>
      </c>
      <c r="AT180">
        <v>1</v>
      </c>
      <c r="AU180">
        <v>179</v>
      </c>
      <c r="AV180">
        <v>6</v>
      </c>
      <c r="AW180" t="s">
        <v>824</v>
      </c>
      <c r="AX180" t="s">
        <v>148</v>
      </c>
      <c r="AY180" t="s">
        <v>501</v>
      </c>
      <c r="AZ180">
        <v>1689</v>
      </c>
      <c r="BA180" t="s">
        <v>557</v>
      </c>
      <c r="BB180">
        <v>887</v>
      </c>
      <c r="BC180" t="s">
        <v>542</v>
      </c>
      <c r="BD180">
        <v>1950</v>
      </c>
      <c r="BE180">
        <v>0</v>
      </c>
      <c r="BF180">
        <v>699.16026629999999</v>
      </c>
    </row>
    <row r="181" spans="1:58" x14ac:dyDescent="0.2">
      <c r="A181">
        <v>180</v>
      </c>
      <c r="B181" t="s">
        <v>228</v>
      </c>
      <c r="C181">
        <v>0</v>
      </c>
      <c r="H181" t="s">
        <v>228</v>
      </c>
      <c r="I181" t="s">
        <v>158</v>
      </c>
      <c r="Q181" t="s">
        <v>228</v>
      </c>
      <c r="R181">
        <v>26.887138230000001</v>
      </c>
      <c r="S181">
        <v>6</v>
      </c>
      <c r="T181">
        <v>130</v>
      </c>
      <c r="V181">
        <v>0</v>
      </c>
      <c r="W181">
        <v>0</v>
      </c>
      <c r="X181" t="s">
        <v>228</v>
      </c>
      <c r="Y181">
        <v>-1</v>
      </c>
      <c r="Z181">
        <v>6</v>
      </c>
      <c r="AA181">
        <v>26.89</v>
      </c>
      <c r="AB181">
        <v>130</v>
      </c>
      <c r="AC181">
        <v>21.46</v>
      </c>
      <c r="AD181">
        <v>0.24</v>
      </c>
      <c r="AE181">
        <v>0</v>
      </c>
      <c r="AF181">
        <v>0.06</v>
      </c>
      <c r="AG181">
        <v>1</v>
      </c>
      <c r="AH181">
        <v>21.46</v>
      </c>
      <c r="AI181">
        <v>21.46</v>
      </c>
      <c r="AJ181">
        <v>21.46</v>
      </c>
      <c r="AK181">
        <v>0.24</v>
      </c>
      <c r="AL181">
        <v>0.24</v>
      </c>
      <c r="AM181">
        <v>0.24</v>
      </c>
      <c r="AN181">
        <v>0</v>
      </c>
      <c r="AO181">
        <v>0</v>
      </c>
      <c r="AP181">
        <v>0</v>
      </c>
      <c r="AQ181">
        <v>26.887138230000001</v>
      </c>
      <c r="AR181">
        <v>0</v>
      </c>
      <c r="AS181">
        <v>180</v>
      </c>
      <c r="AT181">
        <v>1</v>
      </c>
      <c r="AU181">
        <v>180</v>
      </c>
      <c r="AV181">
        <v>1.5</v>
      </c>
      <c r="AW181" t="s">
        <v>541</v>
      </c>
      <c r="AX181" t="s">
        <v>141</v>
      </c>
      <c r="AY181" t="s">
        <v>501</v>
      </c>
      <c r="AZ181">
        <v>887</v>
      </c>
      <c r="BA181" t="s">
        <v>542</v>
      </c>
      <c r="BB181">
        <v>888</v>
      </c>
      <c r="BC181" t="s">
        <v>543</v>
      </c>
      <c r="BD181">
        <v>1950</v>
      </c>
      <c r="BE181">
        <v>0</v>
      </c>
      <c r="BF181">
        <v>420.76297929999998</v>
      </c>
    </row>
    <row r="182" spans="1:58" x14ac:dyDescent="0.2">
      <c r="A182">
        <v>181</v>
      </c>
      <c r="B182" t="s">
        <v>229</v>
      </c>
      <c r="C182">
        <v>0</v>
      </c>
      <c r="H182" t="s">
        <v>229</v>
      </c>
      <c r="I182" t="s">
        <v>158</v>
      </c>
      <c r="Q182" t="s">
        <v>229</v>
      </c>
      <c r="R182">
        <v>487.31477740000003</v>
      </c>
      <c r="S182">
        <v>6</v>
      </c>
      <c r="T182">
        <v>130</v>
      </c>
      <c r="V182">
        <v>0</v>
      </c>
      <c r="W182">
        <v>0</v>
      </c>
      <c r="X182" t="s">
        <v>229</v>
      </c>
      <c r="Y182">
        <v>-1</v>
      </c>
      <c r="Z182">
        <v>6</v>
      </c>
      <c r="AA182">
        <v>487.31</v>
      </c>
      <c r="AB182">
        <v>130</v>
      </c>
      <c r="AC182">
        <v>21.46</v>
      </c>
      <c r="AD182">
        <v>0.24</v>
      </c>
      <c r="AE182">
        <v>0.03</v>
      </c>
      <c r="AF182">
        <v>0.06</v>
      </c>
      <c r="AG182">
        <v>1</v>
      </c>
      <c r="AH182">
        <v>21.46</v>
      </c>
      <c r="AI182">
        <v>21.46</v>
      </c>
      <c r="AJ182">
        <v>21.46</v>
      </c>
      <c r="AK182">
        <v>0.24</v>
      </c>
      <c r="AL182">
        <v>0.24</v>
      </c>
      <c r="AM182">
        <v>0.24</v>
      </c>
      <c r="AN182">
        <v>0.03</v>
      </c>
      <c r="AO182">
        <v>0.03</v>
      </c>
      <c r="AP182">
        <v>0.03</v>
      </c>
      <c r="AQ182">
        <v>487.31477740000003</v>
      </c>
      <c r="AR182">
        <v>0</v>
      </c>
      <c r="AS182">
        <v>181</v>
      </c>
      <c r="AT182">
        <v>1</v>
      </c>
      <c r="AU182">
        <v>181</v>
      </c>
      <c r="AV182">
        <v>6</v>
      </c>
      <c r="AW182" t="s">
        <v>825</v>
      </c>
      <c r="AX182" t="s">
        <v>45</v>
      </c>
      <c r="AY182" t="s">
        <v>501</v>
      </c>
      <c r="AZ182">
        <v>1520</v>
      </c>
      <c r="BA182" t="s">
        <v>826</v>
      </c>
      <c r="BB182">
        <v>1685</v>
      </c>
      <c r="BC182" t="s">
        <v>545</v>
      </c>
      <c r="BD182">
        <v>1930</v>
      </c>
      <c r="BE182">
        <v>0</v>
      </c>
      <c r="BF182">
        <v>36.335249939999997</v>
      </c>
    </row>
    <row r="183" spans="1:58" x14ac:dyDescent="0.2">
      <c r="A183">
        <v>182</v>
      </c>
      <c r="B183" t="s">
        <v>230</v>
      </c>
      <c r="C183">
        <v>0</v>
      </c>
      <c r="H183" t="s">
        <v>230</v>
      </c>
      <c r="I183" t="s">
        <v>158</v>
      </c>
      <c r="Q183" t="s">
        <v>230</v>
      </c>
      <c r="R183">
        <v>240.26538619999999</v>
      </c>
      <c r="S183">
        <v>6</v>
      </c>
      <c r="T183">
        <v>130</v>
      </c>
      <c r="V183">
        <v>0</v>
      </c>
      <c r="W183">
        <v>0</v>
      </c>
      <c r="X183" t="s">
        <v>230</v>
      </c>
      <c r="Y183">
        <v>-1</v>
      </c>
      <c r="Z183">
        <v>6</v>
      </c>
      <c r="AA183">
        <v>240.27</v>
      </c>
      <c r="AB183">
        <v>130</v>
      </c>
      <c r="AC183">
        <v>21.46</v>
      </c>
      <c r="AD183">
        <v>0.24</v>
      </c>
      <c r="AE183">
        <v>0.01</v>
      </c>
      <c r="AF183">
        <v>0.06</v>
      </c>
      <c r="AG183">
        <v>1</v>
      </c>
      <c r="AH183">
        <v>21.46</v>
      </c>
      <c r="AI183">
        <v>21.46</v>
      </c>
      <c r="AJ183">
        <v>21.46</v>
      </c>
      <c r="AK183">
        <v>0.24</v>
      </c>
      <c r="AL183">
        <v>0.24</v>
      </c>
      <c r="AM183">
        <v>0.24</v>
      </c>
      <c r="AN183">
        <v>0.01</v>
      </c>
      <c r="AO183">
        <v>0.01</v>
      </c>
      <c r="AP183">
        <v>0.01</v>
      </c>
      <c r="AQ183">
        <v>240.26538619999999</v>
      </c>
      <c r="AR183">
        <v>0</v>
      </c>
      <c r="AS183">
        <v>182</v>
      </c>
      <c r="AT183">
        <v>1</v>
      </c>
      <c r="AU183">
        <v>182</v>
      </c>
      <c r="AV183">
        <v>6</v>
      </c>
      <c r="AW183" t="s">
        <v>544</v>
      </c>
      <c r="AX183" t="s">
        <v>158</v>
      </c>
      <c r="AY183" t="s">
        <v>501</v>
      </c>
      <c r="AZ183">
        <v>1685</v>
      </c>
      <c r="BA183" t="s">
        <v>545</v>
      </c>
      <c r="BB183">
        <v>941</v>
      </c>
      <c r="BC183" t="s">
        <v>546</v>
      </c>
      <c r="BD183">
        <v>1950</v>
      </c>
      <c r="BE183">
        <v>0</v>
      </c>
      <c r="BF183">
        <v>341.4413098</v>
      </c>
    </row>
    <row r="184" spans="1:58" x14ac:dyDescent="0.2">
      <c r="A184">
        <v>183</v>
      </c>
      <c r="B184" t="s">
        <v>231</v>
      </c>
      <c r="C184">
        <v>0</v>
      </c>
      <c r="H184" t="s">
        <v>231</v>
      </c>
      <c r="I184" t="s">
        <v>158</v>
      </c>
      <c r="Q184" t="s">
        <v>231</v>
      </c>
      <c r="R184">
        <v>33.82124993</v>
      </c>
      <c r="S184">
        <v>6</v>
      </c>
      <c r="T184">
        <v>130</v>
      </c>
      <c r="V184">
        <v>0</v>
      </c>
      <c r="W184">
        <v>0</v>
      </c>
      <c r="X184" t="s">
        <v>231</v>
      </c>
      <c r="Y184">
        <v>-1</v>
      </c>
      <c r="Z184">
        <v>6</v>
      </c>
      <c r="AA184">
        <v>33.82</v>
      </c>
      <c r="AB184">
        <v>130</v>
      </c>
      <c r="AC184">
        <v>21.46</v>
      </c>
      <c r="AD184">
        <v>0.24</v>
      </c>
      <c r="AE184">
        <v>0</v>
      </c>
      <c r="AF184">
        <v>0.06</v>
      </c>
      <c r="AG184">
        <v>1</v>
      </c>
      <c r="AH184">
        <v>21.46</v>
      </c>
      <c r="AI184">
        <v>21.46</v>
      </c>
      <c r="AJ184">
        <v>21.46</v>
      </c>
      <c r="AK184">
        <v>0.24</v>
      </c>
      <c r="AL184">
        <v>0.24</v>
      </c>
      <c r="AM184">
        <v>0.24</v>
      </c>
      <c r="AN184">
        <v>0</v>
      </c>
      <c r="AO184">
        <v>0</v>
      </c>
      <c r="AP184">
        <v>0</v>
      </c>
      <c r="AQ184">
        <v>33.82124993</v>
      </c>
      <c r="AR184">
        <v>0</v>
      </c>
      <c r="AS184">
        <v>183</v>
      </c>
      <c r="AT184">
        <v>1</v>
      </c>
      <c r="AU184">
        <v>183</v>
      </c>
      <c r="AV184">
        <v>6</v>
      </c>
      <c r="AW184" t="s">
        <v>544</v>
      </c>
      <c r="AX184" t="s">
        <v>158</v>
      </c>
      <c r="AY184" t="s">
        <v>501</v>
      </c>
      <c r="AZ184">
        <v>1685</v>
      </c>
      <c r="BA184" t="s">
        <v>545</v>
      </c>
      <c r="BB184">
        <v>941</v>
      </c>
      <c r="BC184" t="s">
        <v>546</v>
      </c>
      <c r="BD184">
        <v>1950</v>
      </c>
      <c r="BE184">
        <v>0</v>
      </c>
      <c r="BF184">
        <v>341.4413098</v>
      </c>
    </row>
    <row r="185" spans="1:58" x14ac:dyDescent="0.2">
      <c r="A185">
        <v>184</v>
      </c>
      <c r="B185" t="s">
        <v>232</v>
      </c>
      <c r="C185">
        <v>0</v>
      </c>
      <c r="H185" t="s">
        <v>232</v>
      </c>
      <c r="I185" t="s">
        <v>158</v>
      </c>
      <c r="Q185" t="s">
        <v>232</v>
      </c>
      <c r="R185">
        <v>631.04468129999998</v>
      </c>
      <c r="S185">
        <v>6</v>
      </c>
      <c r="T185">
        <v>130</v>
      </c>
      <c r="V185">
        <v>0</v>
      </c>
      <c r="W185">
        <v>0</v>
      </c>
      <c r="X185" t="s">
        <v>232</v>
      </c>
      <c r="Y185">
        <v>-1</v>
      </c>
      <c r="Z185">
        <v>6</v>
      </c>
      <c r="AA185">
        <v>631.04</v>
      </c>
      <c r="AB185">
        <v>130</v>
      </c>
      <c r="AC185">
        <v>13.02</v>
      </c>
      <c r="AD185">
        <v>0.15</v>
      </c>
      <c r="AE185">
        <v>0.02</v>
      </c>
      <c r="AF185">
        <v>0.02</v>
      </c>
      <c r="AG185">
        <v>1</v>
      </c>
      <c r="AH185">
        <v>13.02</v>
      </c>
      <c r="AI185">
        <v>13.02</v>
      </c>
      <c r="AJ185">
        <v>13.02</v>
      </c>
      <c r="AK185">
        <v>0.15</v>
      </c>
      <c r="AL185">
        <v>0.15</v>
      </c>
      <c r="AM185">
        <v>0.15</v>
      </c>
      <c r="AN185">
        <v>0.02</v>
      </c>
      <c r="AO185">
        <v>0.02</v>
      </c>
      <c r="AP185">
        <v>0.02</v>
      </c>
      <c r="AQ185">
        <v>631.04468129999998</v>
      </c>
      <c r="AR185">
        <v>1</v>
      </c>
      <c r="AS185">
        <v>184</v>
      </c>
      <c r="AT185">
        <v>1</v>
      </c>
      <c r="AU185">
        <v>184</v>
      </c>
      <c r="AV185">
        <v>6</v>
      </c>
      <c r="AW185" t="s">
        <v>612</v>
      </c>
      <c r="AX185" t="s">
        <v>45</v>
      </c>
      <c r="AY185" t="s">
        <v>501</v>
      </c>
      <c r="AZ185">
        <v>1543</v>
      </c>
      <c r="BA185" t="s">
        <v>613</v>
      </c>
      <c r="BB185">
        <v>900</v>
      </c>
      <c r="BC185" t="s">
        <v>614</v>
      </c>
      <c r="BD185">
        <v>1930</v>
      </c>
      <c r="BE185">
        <v>0</v>
      </c>
      <c r="BF185">
        <v>46.751659549999999</v>
      </c>
    </row>
    <row r="186" spans="1:58" x14ac:dyDescent="0.2">
      <c r="A186">
        <v>185</v>
      </c>
      <c r="B186" t="s">
        <v>233</v>
      </c>
      <c r="C186">
        <v>0</v>
      </c>
      <c r="H186" t="s">
        <v>233</v>
      </c>
      <c r="I186" t="s">
        <v>158</v>
      </c>
      <c r="Q186" t="s">
        <v>233</v>
      </c>
      <c r="R186">
        <v>206.97605100000001</v>
      </c>
      <c r="S186">
        <v>6</v>
      </c>
      <c r="T186">
        <v>130</v>
      </c>
      <c r="V186">
        <v>0</v>
      </c>
      <c r="W186">
        <v>0</v>
      </c>
      <c r="X186" t="s">
        <v>233</v>
      </c>
      <c r="Y186">
        <v>-1</v>
      </c>
      <c r="Z186">
        <v>6</v>
      </c>
      <c r="AA186">
        <v>206.98</v>
      </c>
      <c r="AB186">
        <v>130</v>
      </c>
      <c r="AC186">
        <v>34.32</v>
      </c>
      <c r="AD186">
        <v>0.39</v>
      </c>
      <c r="AE186">
        <v>0.03</v>
      </c>
      <c r="AF186">
        <v>0.14000000000000001</v>
      </c>
      <c r="AG186">
        <v>1</v>
      </c>
      <c r="AH186">
        <v>34.32</v>
      </c>
      <c r="AI186">
        <v>34.32</v>
      </c>
      <c r="AJ186">
        <v>34.32</v>
      </c>
      <c r="AK186">
        <v>0.39</v>
      </c>
      <c r="AL186">
        <v>0.39</v>
      </c>
      <c r="AM186">
        <v>0.39</v>
      </c>
      <c r="AN186">
        <v>0.03</v>
      </c>
      <c r="AO186">
        <v>0.03</v>
      </c>
      <c r="AP186">
        <v>0.03</v>
      </c>
      <c r="AQ186">
        <v>206.97605100000001</v>
      </c>
      <c r="AR186">
        <v>0</v>
      </c>
      <c r="AS186">
        <v>185</v>
      </c>
      <c r="AT186">
        <v>1</v>
      </c>
      <c r="AU186">
        <v>185</v>
      </c>
      <c r="AV186">
        <v>6</v>
      </c>
      <c r="AW186" t="s">
        <v>827</v>
      </c>
      <c r="AX186" t="s">
        <v>158</v>
      </c>
      <c r="AY186" t="s">
        <v>501</v>
      </c>
      <c r="AZ186">
        <v>1017</v>
      </c>
      <c r="BA186" t="s">
        <v>828</v>
      </c>
      <c r="BB186">
        <v>964</v>
      </c>
      <c r="BC186" t="s">
        <v>829</v>
      </c>
      <c r="BD186">
        <v>1950</v>
      </c>
      <c r="BE186">
        <v>0</v>
      </c>
      <c r="BF186">
        <v>237.92307740000001</v>
      </c>
    </row>
    <row r="187" spans="1:58" x14ac:dyDescent="0.2">
      <c r="A187">
        <v>186</v>
      </c>
      <c r="B187" t="s">
        <v>234</v>
      </c>
      <c r="C187">
        <v>0</v>
      </c>
      <c r="H187" t="s">
        <v>234</v>
      </c>
      <c r="I187" t="s">
        <v>158</v>
      </c>
      <c r="Q187" t="s">
        <v>234</v>
      </c>
      <c r="R187">
        <v>30.946920769999998</v>
      </c>
      <c r="S187">
        <v>6</v>
      </c>
      <c r="T187">
        <v>130</v>
      </c>
      <c r="V187">
        <v>0</v>
      </c>
      <c r="W187">
        <v>0</v>
      </c>
      <c r="X187" t="s">
        <v>234</v>
      </c>
      <c r="Y187">
        <v>-1</v>
      </c>
      <c r="Z187">
        <v>6</v>
      </c>
      <c r="AA187">
        <v>30.95</v>
      </c>
      <c r="AB187">
        <v>130</v>
      </c>
      <c r="AC187">
        <v>34.32</v>
      </c>
      <c r="AD187">
        <v>0.39</v>
      </c>
      <c r="AE187">
        <v>0</v>
      </c>
      <c r="AF187">
        <v>0.14000000000000001</v>
      </c>
      <c r="AG187">
        <v>1</v>
      </c>
      <c r="AH187">
        <v>34.32</v>
      </c>
      <c r="AI187">
        <v>34.32</v>
      </c>
      <c r="AJ187">
        <v>34.32</v>
      </c>
      <c r="AK187">
        <v>0.39</v>
      </c>
      <c r="AL187">
        <v>0.39</v>
      </c>
      <c r="AM187">
        <v>0.39</v>
      </c>
      <c r="AN187">
        <v>0</v>
      </c>
      <c r="AO187">
        <v>0</v>
      </c>
      <c r="AP187">
        <v>0</v>
      </c>
      <c r="AQ187">
        <v>30.946920769999998</v>
      </c>
      <c r="AR187">
        <v>0</v>
      </c>
      <c r="AS187">
        <v>186</v>
      </c>
      <c r="AT187">
        <v>1</v>
      </c>
      <c r="AU187">
        <v>186</v>
      </c>
      <c r="AV187">
        <v>6</v>
      </c>
      <c r="AW187" t="s">
        <v>827</v>
      </c>
      <c r="AX187" t="s">
        <v>158</v>
      </c>
      <c r="AY187" t="s">
        <v>501</v>
      </c>
      <c r="AZ187">
        <v>1017</v>
      </c>
      <c r="BA187" t="s">
        <v>828</v>
      </c>
      <c r="BB187">
        <v>964</v>
      </c>
      <c r="BC187" t="s">
        <v>829</v>
      </c>
      <c r="BD187">
        <v>1950</v>
      </c>
      <c r="BE187">
        <v>0</v>
      </c>
      <c r="BF187">
        <v>237.92307740000001</v>
      </c>
    </row>
    <row r="188" spans="1:58" x14ac:dyDescent="0.2">
      <c r="A188">
        <v>187</v>
      </c>
      <c r="B188" t="s">
        <v>235</v>
      </c>
      <c r="C188">
        <v>0</v>
      </c>
      <c r="H188" t="s">
        <v>235</v>
      </c>
      <c r="I188" t="s">
        <v>141</v>
      </c>
      <c r="Q188" t="s">
        <v>235</v>
      </c>
      <c r="R188">
        <v>185.69477169999999</v>
      </c>
      <c r="S188">
        <v>1.5</v>
      </c>
      <c r="T188">
        <v>130</v>
      </c>
      <c r="V188">
        <v>0</v>
      </c>
      <c r="W188">
        <v>0</v>
      </c>
      <c r="X188" t="s">
        <v>235</v>
      </c>
      <c r="Y188">
        <v>1</v>
      </c>
      <c r="Z188">
        <v>1.5</v>
      </c>
      <c r="AA188">
        <v>185.69</v>
      </c>
      <c r="AB188">
        <v>130</v>
      </c>
      <c r="AC188">
        <v>0.14000000000000001</v>
      </c>
      <c r="AD188">
        <v>0.03</v>
      </c>
      <c r="AE188">
        <v>0</v>
      </c>
      <c r="AF188">
        <v>0</v>
      </c>
      <c r="AG188">
        <v>1</v>
      </c>
      <c r="AH188">
        <v>0.14000000000000001</v>
      </c>
      <c r="AI188">
        <v>0.14000000000000001</v>
      </c>
      <c r="AJ188">
        <v>0.14000000000000001</v>
      </c>
      <c r="AK188">
        <v>0.03</v>
      </c>
      <c r="AL188">
        <v>0.03</v>
      </c>
      <c r="AM188">
        <v>0.03</v>
      </c>
      <c r="AN188">
        <v>0</v>
      </c>
      <c r="AO188">
        <v>0</v>
      </c>
      <c r="AP188">
        <v>0</v>
      </c>
      <c r="AQ188">
        <v>185.69477169999999</v>
      </c>
      <c r="AR188">
        <v>0</v>
      </c>
      <c r="AS188">
        <v>187</v>
      </c>
      <c r="AT188">
        <v>1</v>
      </c>
      <c r="AU188">
        <v>187</v>
      </c>
      <c r="AV188">
        <v>1.5</v>
      </c>
      <c r="AW188" t="s">
        <v>830</v>
      </c>
      <c r="AX188" t="s">
        <v>141</v>
      </c>
      <c r="AY188" t="s">
        <v>501</v>
      </c>
      <c r="AZ188">
        <v>964</v>
      </c>
      <c r="BA188" t="s">
        <v>829</v>
      </c>
      <c r="BB188">
        <v>988</v>
      </c>
      <c r="BC188" t="s">
        <v>831</v>
      </c>
      <c r="BD188">
        <v>1950</v>
      </c>
      <c r="BE188">
        <v>0</v>
      </c>
      <c r="BF188">
        <v>185.6948428</v>
      </c>
    </row>
    <row r="189" spans="1:58" x14ac:dyDescent="0.2">
      <c r="A189">
        <v>188</v>
      </c>
      <c r="B189" t="s">
        <v>236</v>
      </c>
      <c r="C189">
        <v>0</v>
      </c>
      <c r="H189" t="s">
        <v>236</v>
      </c>
      <c r="I189" t="s">
        <v>158</v>
      </c>
      <c r="Q189" t="s">
        <v>236</v>
      </c>
      <c r="R189">
        <v>32.363050569999999</v>
      </c>
      <c r="S189">
        <v>6</v>
      </c>
      <c r="T189">
        <v>130</v>
      </c>
      <c r="V189">
        <v>0</v>
      </c>
      <c r="W189">
        <v>0</v>
      </c>
      <c r="X189" t="s">
        <v>236</v>
      </c>
      <c r="Y189">
        <v>1</v>
      </c>
      <c r="Z189">
        <v>6</v>
      </c>
      <c r="AA189">
        <v>32.36</v>
      </c>
      <c r="AB189">
        <v>130</v>
      </c>
      <c r="AC189">
        <v>20.05</v>
      </c>
      <c r="AD189">
        <v>0.23</v>
      </c>
      <c r="AE189">
        <v>0</v>
      </c>
      <c r="AF189">
        <v>0.05</v>
      </c>
      <c r="AG189">
        <v>1</v>
      </c>
      <c r="AH189">
        <v>20.05</v>
      </c>
      <c r="AI189">
        <v>20.05</v>
      </c>
      <c r="AJ189">
        <v>20.05</v>
      </c>
      <c r="AK189">
        <v>0.23</v>
      </c>
      <c r="AL189">
        <v>0.23</v>
      </c>
      <c r="AM189">
        <v>0.23</v>
      </c>
      <c r="AN189">
        <v>0</v>
      </c>
      <c r="AO189">
        <v>0</v>
      </c>
      <c r="AP189">
        <v>0</v>
      </c>
      <c r="AQ189">
        <v>32.363050569999999</v>
      </c>
      <c r="AR189">
        <v>0</v>
      </c>
      <c r="AS189">
        <v>188</v>
      </c>
      <c r="AT189">
        <v>1</v>
      </c>
      <c r="AU189">
        <v>188</v>
      </c>
      <c r="AV189">
        <v>6</v>
      </c>
      <c r="AW189" t="s">
        <v>827</v>
      </c>
      <c r="AX189" t="s">
        <v>158</v>
      </c>
      <c r="AY189" t="s">
        <v>501</v>
      </c>
      <c r="AZ189">
        <v>1017</v>
      </c>
      <c r="BA189" t="s">
        <v>828</v>
      </c>
      <c r="BB189">
        <v>964</v>
      </c>
      <c r="BC189" t="s">
        <v>829</v>
      </c>
      <c r="BD189">
        <v>1950</v>
      </c>
      <c r="BE189">
        <v>0</v>
      </c>
      <c r="BF189">
        <v>237.92307740000001</v>
      </c>
    </row>
    <row r="190" spans="1:58" x14ac:dyDescent="0.2">
      <c r="A190">
        <v>189</v>
      </c>
      <c r="B190" t="s">
        <v>237</v>
      </c>
      <c r="C190">
        <v>0</v>
      </c>
      <c r="H190" t="s">
        <v>237</v>
      </c>
      <c r="I190" t="s">
        <v>158</v>
      </c>
      <c r="Q190" t="s">
        <v>237</v>
      </c>
      <c r="R190">
        <v>553.53727690000005</v>
      </c>
      <c r="S190">
        <v>6</v>
      </c>
      <c r="T190">
        <v>130</v>
      </c>
      <c r="V190">
        <v>0</v>
      </c>
      <c r="W190">
        <v>0</v>
      </c>
      <c r="X190" t="s">
        <v>237</v>
      </c>
      <c r="Y190">
        <v>1</v>
      </c>
      <c r="Z190">
        <v>6</v>
      </c>
      <c r="AA190">
        <v>553.54</v>
      </c>
      <c r="AB190">
        <v>130</v>
      </c>
      <c r="AC190">
        <v>20.05</v>
      </c>
      <c r="AD190">
        <v>0.23</v>
      </c>
      <c r="AE190">
        <v>0.03</v>
      </c>
      <c r="AF190">
        <v>0.05</v>
      </c>
      <c r="AG190">
        <v>1</v>
      </c>
      <c r="AH190">
        <v>20.05</v>
      </c>
      <c r="AI190">
        <v>20.05</v>
      </c>
      <c r="AJ190">
        <v>20.05</v>
      </c>
      <c r="AK190">
        <v>0.23</v>
      </c>
      <c r="AL190">
        <v>0.23</v>
      </c>
      <c r="AM190">
        <v>0.23</v>
      </c>
      <c r="AN190">
        <v>0.03</v>
      </c>
      <c r="AO190">
        <v>0.03</v>
      </c>
      <c r="AP190">
        <v>0.03</v>
      </c>
      <c r="AQ190">
        <v>553.53727690000005</v>
      </c>
      <c r="AR190">
        <v>0</v>
      </c>
      <c r="AS190">
        <v>189</v>
      </c>
      <c r="AT190">
        <v>1</v>
      </c>
      <c r="AU190">
        <v>189</v>
      </c>
      <c r="AV190">
        <v>6</v>
      </c>
      <c r="AW190" t="s">
        <v>591</v>
      </c>
      <c r="AX190" t="s">
        <v>45</v>
      </c>
      <c r="AY190" t="s">
        <v>501</v>
      </c>
      <c r="AZ190">
        <v>1536</v>
      </c>
      <c r="BA190" t="s">
        <v>592</v>
      </c>
      <c r="BB190">
        <v>1694</v>
      </c>
      <c r="BC190" t="s">
        <v>593</v>
      </c>
      <c r="BD190">
        <v>1930</v>
      </c>
      <c r="BE190">
        <v>0</v>
      </c>
      <c r="BF190">
        <v>20.320770169999999</v>
      </c>
    </row>
    <row r="191" spans="1:58" x14ac:dyDescent="0.2">
      <c r="A191">
        <v>190</v>
      </c>
      <c r="B191" t="s">
        <v>238</v>
      </c>
      <c r="C191">
        <v>0</v>
      </c>
      <c r="H191" t="s">
        <v>238</v>
      </c>
      <c r="I191" t="s">
        <v>158</v>
      </c>
      <c r="Q191" t="s">
        <v>238</v>
      </c>
      <c r="R191">
        <v>69.78464434</v>
      </c>
      <c r="S191">
        <v>6</v>
      </c>
      <c r="T191">
        <v>130</v>
      </c>
      <c r="V191">
        <v>0</v>
      </c>
      <c r="W191">
        <v>0</v>
      </c>
      <c r="X191" t="s">
        <v>238</v>
      </c>
      <c r="Y191">
        <v>1</v>
      </c>
      <c r="Z191">
        <v>6</v>
      </c>
      <c r="AA191">
        <v>69.78</v>
      </c>
      <c r="AB191">
        <v>130</v>
      </c>
      <c r="AC191">
        <v>19.91</v>
      </c>
      <c r="AD191">
        <v>0.23</v>
      </c>
      <c r="AE191">
        <v>0</v>
      </c>
      <c r="AF191">
        <v>0.05</v>
      </c>
      <c r="AG191">
        <v>1</v>
      </c>
      <c r="AH191">
        <v>19.91</v>
      </c>
      <c r="AI191">
        <v>19.91</v>
      </c>
      <c r="AJ191">
        <v>19.91</v>
      </c>
      <c r="AK191">
        <v>0.23</v>
      </c>
      <c r="AL191">
        <v>0.23</v>
      </c>
      <c r="AM191">
        <v>0.23</v>
      </c>
      <c r="AN191">
        <v>0</v>
      </c>
      <c r="AO191">
        <v>0</v>
      </c>
      <c r="AP191">
        <v>0</v>
      </c>
      <c r="AQ191">
        <v>69.78464434</v>
      </c>
      <c r="AR191">
        <v>0</v>
      </c>
      <c r="AS191">
        <v>190</v>
      </c>
      <c r="AT191">
        <v>1</v>
      </c>
      <c r="AU191">
        <v>190</v>
      </c>
      <c r="AV191">
        <v>6</v>
      </c>
      <c r="AW191" t="s">
        <v>591</v>
      </c>
      <c r="AX191" t="s">
        <v>45</v>
      </c>
      <c r="AY191" t="s">
        <v>501</v>
      </c>
      <c r="AZ191">
        <v>1536</v>
      </c>
      <c r="BA191" t="s">
        <v>592</v>
      </c>
      <c r="BB191">
        <v>1694</v>
      </c>
      <c r="BC191" t="s">
        <v>593</v>
      </c>
      <c r="BD191">
        <v>1930</v>
      </c>
      <c r="BE191">
        <v>0</v>
      </c>
      <c r="BF191">
        <v>20.320770169999999</v>
      </c>
    </row>
    <row r="192" spans="1:58" x14ac:dyDescent="0.2">
      <c r="A192">
        <v>191</v>
      </c>
      <c r="B192" t="s">
        <v>239</v>
      </c>
      <c r="C192">
        <v>0</v>
      </c>
      <c r="H192" t="s">
        <v>239</v>
      </c>
      <c r="I192" t="s">
        <v>158</v>
      </c>
      <c r="Q192" t="s">
        <v>239</v>
      </c>
      <c r="R192">
        <v>32.055585280000003</v>
      </c>
      <c r="S192">
        <v>6</v>
      </c>
      <c r="T192">
        <v>130</v>
      </c>
      <c r="V192">
        <v>0</v>
      </c>
      <c r="W192">
        <v>0</v>
      </c>
      <c r="X192" t="s">
        <v>239</v>
      </c>
      <c r="Y192">
        <v>1</v>
      </c>
      <c r="Z192">
        <v>6</v>
      </c>
      <c r="AA192">
        <v>32.06</v>
      </c>
      <c r="AB192">
        <v>130</v>
      </c>
      <c r="AC192">
        <v>17.41</v>
      </c>
      <c r="AD192">
        <v>0.2</v>
      </c>
      <c r="AE192">
        <v>0</v>
      </c>
      <c r="AF192">
        <v>0.04</v>
      </c>
      <c r="AG192">
        <v>1</v>
      </c>
      <c r="AH192">
        <v>17.41</v>
      </c>
      <c r="AI192">
        <v>17.41</v>
      </c>
      <c r="AJ192">
        <v>17.41</v>
      </c>
      <c r="AK192">
        <v>0.2</v>
      </c>
      <c r="AL192">
        <v>0.2</v>
      </c>
      <c r="AM192">
        <v>0.2</v>
      </c>
      <c r="AN192">
        <v>0</v>
      </c>
      <c r="AO192">
        <v>0</v>
      </c>
      <c r="AP192">
        <v>0</v>
      </c>
      <c r="AQ192">
        <v>32.055585280000003</v>
      </c>
      <c r="AR192">
        <v>0</v>
      </c>
      <c r="AS192">
        <v>191</v>
      </c>
      <c r="AT192">
        <v>1</v>
      </c>
      <c r="AU192">
        <v>191</v>
      </c>
      <c r="AV192">
        <v>6</v>
      </c>
      <c r="AW192" t="s">
        <v>832</v>
      </c>
      <c r="AX192" t="s">
        <v>158</v>
      </c>
      <c r="AY192" t="s">
        <v>501</v>
      </c>
      <c r="AZ192">
        <v>985</v>
      </c>
      <c r="BA192" t="s">
        <v>833</v>
      </c>
      <c r="BB192">
        <v>951</v>
      </c>
      <c r="BC192" t="s">
        <v>587</v>
      </c>
      <c r="BD192">
        <v>1950</v>
      </c>
      <c r="BE192">
        <v>0</v>
      </c>
      <c r="BF192">
        <v>714.99941049999995</v>
      </c>
    </row>
    <row r="193" spans="1:58" x14ac:dyDescent="0.2">
      <c r="A193">
        <v>192</v>
      </c>
      <c r="B193" t="s">
        <v>240</v>
      </c>
      <c r="C193">
        <v>0</v>
      </c>
      <c r="H193" t="s">
        <v>240</v>
      </c>
      <c r="I193" t="s">
        <v>158</v>
      </c>
      <c r="Q193" t="s">
        <v>240</v>
      </c>
      <c r="R193">
        <v>669.50700489999997</v>
      </c>
      <c r="S193">
        <v>6</v>
      </c>
      <c r="T193">
        <v>130</v>
      </c>
      <c r="V193">
        <v>0</v>
      </c>
      <c r="W193">
        <v>0</v>
      </c>
      <c r="X193" t="s">
        <v>240</v>
      </c>
      <c r="Y193">
        <v>1</v>
      </c>
      <c r="Z193">
        <v>6</v>
      </c>
      <c r="AA193">
        <v>669.51</v>
      </c>
      <c r="AB193">
        <v>130</v>
      </c>
      <c r="AC193">
        <v>17.41</v>
      </c>
      <c r="AD193">
        <v>0.2</v>
      </c>
      <c r="AE193">
        <v>0.03</v>
      </c>
      <c r="AF193">
        <v>0.04</v>
      </c>
      <c r="AG193">
        <v>1</v>
      </c>
      <c r="AH193">
        <v>17.41</v>
      </c>
      <c r="AI193">
        <v>17.41</v>
      </c>
      <c r="AJ193">
        <v>17.41</v>
      </c>
      <c r="AK193">
        <v>0.2</v>
      </c>
      <c r="AL193">
        <v>0.2</v>
      </c>
      <c r="AM193">
        <v>0.2</v>
      </c>
      <c r="AN193">
        <v>0.03</v>
      </c>
      <c r="AO193">
        <v>0.03</v>
      </c>
      <c r="AP193">
        <v>0.03</v>
      </c>
      <c r="AQ193">
        <v>669.50700489999997</v>
      </c>
      <c r="AR193">
        <v>0</v>
      </c>
      <c r="AS193">
        <v>192</v>
      </c>
      <c r="AT193">
        <v>1</v>
      </c>
      <c r="AU193">
        <v>192</v>
      </c>
      <c r="AV193">
        <v>6</v>
      </c>
      <c r="AW193" t="s">
        <v>832</v>
      </c>
      <c r="AX193" t="s">
        <v>158</v>
      </c>
      <c r="AY193" t="s">
        <v>501</v>
      </c>
      <c r="AZ193">
        <v>985</v>
      </c>
      <c r="BA193" t="s">
        <v>833</v>
      </c>
      <c r="BB193">
        <v>951</v>
      </c>
      <c r="BC193" t="s">
        <v>587</v>
      </c>
      <c r="BD193">
        <v>1950</v>
      </c>
      <c r="BE193">
        <v>0</v>
      </c>
      <c r="BF193">
        <v>714.99941049999995</v>
      </c>
    </row>
    <row r="194" spans="1:58" x14ac:dyDescent="0.2">
      <c r="A194">
        <v>193</v>
      </c>
      <c r="B194" t="s">
        <v>241</v>
      </c>
      <c r="C194">
        <v>0</v>
      </c>
      <c r="H194" t="s">
        <v>241</v>
      </c>
      <c r="I194" t="s">
        <v>158</v>
      </c>
      <c r="Q194" t="s">
        <v>241</v>
      </c>
      <c r="R194">
        <v>81.938800029999996</v>
      </c>
      <c r="S194">
        <v>10</v>
      </c>
      <c r="T194">
        <v>130</v>
      </c>
      <c r="V194">
        <v>0</v>
      </c>
      <c r="W194">
        <v>0</v>
      </c>
      <c r="X194" t="s">
        <v>241</v>
      </c>
      <c r="Y194">
        <v>-1</v>
      </c>
      <c r="Z194">
        <v>10</v>
      </c>
      <c r="AA194">
        <v>81.94</v>
      </c>
      <c r="AB194">
        <v>130</v>
      </c>
      <c r="AC194">
        <v>117.97</v>
      </c>
      <c r="AD194">
        <v>0.48</v>
      </c>
      <c r="AE194">
        <v>0.01</v>
      </c>
      <c r="AF194">
        <v>0.12</v>
      </c>
      <c r="AG194">
        <v>1</v>
      </c>
      <c r="AH194">
        <v>117.97</v>
      </c>
      <c r="AI194">
        <v>117.97</v>
      </c>
      <c r="AJ194">
        <v>117.97</v>
      </c>
      <c r="AK194">
        <v>0.48</v>
      </c>
      <c r="AL194">
        <v>0.48</v>
      </c>
      <c r="AM194">
        <v>0.48</v>
      </c>
      <c r="AN194">
        <v>0.01</v>
      </c>
      <c r="AO194">
        <v>0.01</v>
      </c>
      <c r="AP194">
        <v>0.01</v>
      </c>
      <c r="AQ194">
        <v>81.938800029999996</v>
      </c>
      <c r="AR194">
        <v>1</v>
      </c>
      <c r="AS194">
        <v>193</v>
      </c>
      <c r="AT194">
        <v>1</v>
      </c>
      <c r="AU194">
        <v>193</v>
      </c>
      <c r="AV194">
        <v>8</v>
      </c>
      <c r="AW194" t="s">
        <v>811</v>
      </c>
      <c r="AX194" t="s">
        <v>146</v>
      </c>
      <c r="AY194" t="s">
        <v>501</v>
      </c>
      <c r="AZ194">
        <v>876</v>
      </c>
      <c r="BA194" t="s">
        <v>809</v>
      </c>
      <c r="BB194">
        <v>1743</v>
      </c>
      <c r="BC194" t="s">
        <v>730</v>
      </c>
      <c r="BD194">
        <v>1980</v>
      </c>
      <c r="BE194">
        <v>1</v>
      </c>
      <c r="BF194">
        <v>402.43883349999999</v>
      </c>
    </row>
    <row r="195" spans="1:58" x14ac:dyDescent="0.2">
      <c r="A195">
        <v>194</v>
      </c>
      <c r="B195" t="s">
        <v>242</v>
      </c>
      <c r="C195">
        <v>0</v>
      </c>
      <c r="H195" t="s">
        <v>242</v>
      </c>
      <c r="I195" t="s">
        <v>158</v>
      </c>
      <c r="Q195" t="s">
        <v>242</v>
      </c>
      <c r="R195">
        <v>96.202028220000003</v>
      </c>
      <c r="S195">
        <v>10</v>
      </c>
      <c r="T195">
        <v>130</v>
      </c>
      <c r="V195">
        <v>0</v>
      </c>
      <c r="W195">
        <v>0</v>
      </c>
      <c r="X195" t="s">
        <v>242</v>
      </c>
      <c r="Y195">
        <v>-1</v>
      </c>
      <c r="Z195">
        <v>10</v>
      </c>
      <c r="AA195">
        <v>96.2</v>
      </c>
      <c r="AB195">
        <v>130</v>
      </c>
      <c r="AC195">
        <v>117.97</v>
      </c>
      <c r="AD195">
        <v>0.48</v>
      </c>
      <c r="AE195">
        <v>0.01</v>
      </c>
      <c r="AF195">
        <v>0.12</v>
      </c>
      <c r="AG195">
        <v>1</v>
      </c>
      <c r="AH195">
        <v>117.97</v>
      </c>
      <c r="AI195">
        <v>117.97</v>
      </c>
      <c r="AJ195">
        <v>117.97</v>
      </c>
      <c r="AK195">
        <v>0.48</v>
      </c>
      <c r="AL195">
        <v>0.48</v>
      </c>
      <c r="AM195">
        <v>0.48</v>
      </c>
      <c r="AN195">
        <v>0.01</v>
      </c>
      <c r="AO195">
        <v>0.01</v>
      </c>
      <c r="AP195">
        <v>0.01</v>
      </c>
      <c r="AQ195">
        <v>96.202028220000003</v>
      </c>
      <c r="AR195">
        <v>1</v>
      </c>
      <c r="AS195">
        <v>194</v>
      </c>
      <c r="AT195">
        <v>1</v>
      </c>
      <c r="AU195">
        <v>194</v>
      </c>
      <c r="AV195">
        <v>10</v>
      </c>
      <c r="AW195" t="s">
        <v>834</v>
      </c>
      <c r="AX195" t="s">
        <v>158</v>
      </c>
      <c r="AY195" t="s">
        <v>501</v>
      </c>
      <c r="AZ195">
        <v>876</v>
      </c>
      <c r="BA195" t="s">
        <v>809</v>
      </c>
      <c r="BB195">
        <v>1742</v>
      </c>
      <c r="BC195" t="s">
        <v>725</v>
      </c>
      <c r="BD195">
        <v>1950</v>
      </c>
      <c r="BE195">
        <v>1</v>
      </c>
      <c r="BF195">
        <v>181.057005</v>
      </c>
    </row>
    <row r="196" spans="1:58" x14ac:dyDescent="0.2">
      <c r="A196">
        <v>195</v>
      </c>
      <c r="B196" t="s">
        <v>243</v>
      </c>
      <c r="C196">
        <v>0</v>
      </c>
      <c r="H196" t="s">
        <v>243</v>
      </c>
      <c r="I196" t="s">
        <v>158</v>
      </c>
      <c r="Q196" t="s">
        <v>243</v>
      </c>
      <c r="R196">
        <v>301.48719069999999</v>
      </c>
      <c r="S196">
        <v>10</v>
      </c>
      <c r="T196">
        <v>130</v>
      </c>
      <c r="V196">
        <v>0</v>
      </c>
      <c r="W196">
        <v>0</v>
      </c>
      <c r="X196" t="s">
        <v>243</v>
      </c>
      <c r="Y196">
        <v>-1</v>
      </c>
      <c r="Z196">
        <v>10</v>
      </c>
      <c r="AA196">
        <v>301.49</v>
      </c>
      <c r="AB196">
        <v>130</v>
      </c>
      <c r="AC196">
        <v>118.39</v>
      </c>
      <c r="AD196">
        <v>0.48</v>
      </c>
      <c r="AE196">
        <v>0.04</v>
      </c>
      <c r="AF196">
        <v>0.12</v>
      </c>
      <c r="AG196">
        <v>1</v>
      </c>
      <c r="AH196">
        <v>118.39</v>
      </c>
      <c r="AI196">
        <v>118.39</v>
      </c>
      <c r="AJ196">
        <v>118.39</v>
      </c>
      <c r="AK196">
        <v>0.48</v>
      </c>
      <c r="AL196">
        <v>0.48</v>
      </c>
      <c r="AM196">
        <v>0.48</v>
      </c>
      <c r="AN196">
        <v>0.04</v>
      </c>
      <c r="AO196">
        <v>0.04</v>
      </c>
      <c r="AP196">
        <v>0.04</v>
      </c>
      <c r="AQ196">
        <v>301.48719069999999</v>
      </c>
      <c r="AR196">
        <v>1</v>
      </c>
      <c r="AS196">
        <v>195</v>
      </c>
      <c r="AT196">
        <v>1</v>
      </c>
      <c r="AU196">
        <v>195</v>
      </c>
      <c r="AV196">
        <v>6</v>
      </c>
      <c r="AW196" t="s">
        <v>835</v>
      </c>
      <c r="AX196" t="s">
        <v>45</v>
      </c>
      <c r="AY196" t="s">
        <v>501</v>
      </c>
      <c r="AZ196">
        <v>1587</v>
      </c>
      <c r="BA196" t="s">
        <v>836</v>
      </c>
      <c r="BB196">
        <v>1741</v>
      </c>
      <c r="BC196" t="s">
        <v>726</v>
      </c>
      <c r="BD196">
        <v>1980</v>
      </c>
      <c r="BE196">
        <v>0</v>
      </c>
      <c r="BF196">
        <v>348.10065630000003</v>
      </c>
    </row>
    <row r="197" spans="1:58" x14ac:dyDescent="0.2">
      <c r="A197">
        <v>196</v>
      </c>
      <c r="B197" t="s">
        <v>244</v>
      </c>
      <c r="C197">
        <v>0</v>
      </c>
      <c r="H197" t="s">
        <v>244</v>
      </c>
      <c r="I197" t="s">
        <v>158</v>
      </c>
      <c r="Q197" t="s">
        <v>244</v>
      </c>
      <c r="R197">
        <v>792.2364642</v>
      </c>
      <c r="S197">
        <v>10</v>
      </c>
      <c r="T197">
        <v>130</v>
      </c>
      <c r="V197">
        <v>0</v>
      </c>
      <c r="W197">
        <v>0</v>
      </c>
      <c r="X197" t="s">
        <v>244</v>
      </c>
      <c r="Y197">
        <v>-1</v>
      </c>
      <c r="Z197">
        <v>10</v>
      </c>
      <c r="AA197">
        <v>792.24</v>
      </c>
      <c r="AB197">
        <v>130</v>
      </c>
      <c r="AC197">
        <v>118.39</v>
      </c>
      <c r="AD197">
        <v>0.48</v>
      </c>
      <c r="AE197">
        <v>0.09</v>
      </c>
      <c r="AF197">
        <v>0.12</v>
      </c>
      <c r="AG197">
        <v>1</v>
      </c>
      <c r="AH197">
        <v>118.39</v>
      </c>
      <c r="AI197">
        <v>118.39</v>
      </c>
      <c r="AJ197">
        <v>118.39</v>
      </c>
      <c r="AK197">
        <v>0.48</v>
      </c>
      <c r="AL197">
        <v>0.48</v>
      </c>
      <c r="AM197">
        <v>0.48</v>
      </c>
      <c r="AN197">
        <v>0.09</v>
      </c>
      <c r="AO197">
        <v>0.09</v>
      </c>
      <c r="AP197">
        <v>0.09</v>
      </c>
      <c r="AQ197">
        <v>792.2364642</v>
      </c>
      <c r="AR197">
        <v>1</v>
      </c>
      <c r="AS197">
        <v>196</v>
      </c>
      <c r="AT197">
        <v>1</v>
      </c>
      <c r="AU197">
        <v>196</v>
      </c>
      <c r="AV197">
        <v>10</v>
      </c>
      <c r="AW197" t="s">
        <v>837</v>
      </c>
      <c r="AX197" t="s">
        <v>158</v>
      </c>
      <c r="AY197" t="s">
        <v>501</v>
      </c>
      <c r="AZ197">
        <v>1741</v>
      </c>
      <c r="BA197" t="s">
        <v>726</v>
      </c>
      <c r="BB197">
        <v>947</v>
      </c>
      <c r="BC197" t="s">
        <v>700</v>
      </c>
      <c r="BD197">
        <v>1950</v>
      </c>
      <c r="BE197">
        <v>1</v>
      </c>
      <c r="BF197">
        <v>835.81779389999997</v>
      </c>
    </row>
    <row r="198" spans="1:58" x14ac:dyDescent="0.2">
      <c r="A198">
        <v>197</v>
      </c>
      <c r="B198" t="s">
        <v>245</v>
      </c>
      <c r="C198">
        <v>0</v>
      </c>
      <c r="H198" t="s">
        <v>245</v>
      </c>
      <c r="I198" t="s">
        <v>158</v>
      </c>
      <c r="Q198" t="s">
        <v>245</v>
      </c>
      <c r="R198">
        <v>31.188356590000001</v>
      </c>
      <c r="S198">
        <v>10</v>
      </c>
      <c r="T198">
        <v>130</v>
      </c>
      <c r="V198">
        <v>0</v>
      </c>
      <c r="W198">
        <v>0</v>
      </c>
      <c r="X198" t="s">
        <v>245</v>
      </c>
      <c r="Y198">
        <v>-1</v>
      </c>
      <c r="Z198">
        <v>10</v>
      </c>
      <c r="AA198">
        <v>31.19</v>
      </c>
      <c r="AB198">
        <v>130</v>
      </c>
      <c r="AC198">
        <v>118.39</v>
      </c>
      <c r="AD198">
        <v>0.48</v>
      </c>
      <c r="AE198">
        <v>0</v>
      </c>
      <c r="AF198">
        <v>0.12</v>
      </c>
      <c r="AG198">
        <v>1</v>
      </c>
      <c r="AH198">
        <v>118.39</v>
      </c>
      <c r="AI198">
        <v>118.39</v>
      </c>
      <c r="AJ198">
        <v>118.39</v>
      </c>
      <c r="AK198">
        <v>0.48</v>
      </c>
      <c r="AL198">
        <v>0.48</v>
      </c>
      <c r="AM198">
        <v>0.48</v>
      </c>
      <c r="AN198">
        <v>0</v>
      </c>
      <c r="AO198">
        <v>0</v>
      </c>
      <c r="AP198">
        <v>0</v>
      </c>
      <c r="AQ198">
        <v>31.188356590000001</v>
      </c>
      <c r="AR198">
        <v>0</v>
      </c>
      <c r="AS198">
        <v>197</v>
      </c>
      <c r="AT198">
        <v>1</v>
      </c>
      <c r="AU198">
        <v>197</v>
      </c>
      <c r="AV198">
        <v>10</v>
      </c>
      <c r="AW198" t="s">
        <v>837</v>
      </c>
      <c r="AX198" t="s">
        <v>158</v>
      </c>
      <c r="AY198" t="s">
        <v>501</v>
      </c>
      <c r="AZ198">
        <v>1741</v>
      </c>
      <c r="BA198" t="s">
        <v>726</v>
      </c>
      <c r="BB198">
        <v>947</v>
      </c>
      <c r="BC198" t="s">
        <v>700</v>
      </c>
      <c r="BD198">
        <v>1950</v>
      </c>
      <c r="BE198">
        <v>1</v>
      </c>
      <c r="BF198">
        <v>835.81779389999997</v>
      </c>
    </row>
    <row r="199" spans="1:58" x14ac:dyDescent="0.2">
      <c r="A199">
        <v>198</v>
      </c>
      <c r="B199" t="s">
        <v>246</v>
      </c>
      <c r="C199">
        <v>0</v>
      </c>
      <c r="H199" t="s">
        <v>246</v>
      </c>
      <c r="I199" t="s">
        <v>158</v>
      </c>
      <c r="Q199" t="s">
        <v>246</v>
      </c>
      <c r="R199">
        <v>551.1132222</v>
      </c>
      <c r="S199">
        <v>10</v>
      </c>
      <c r="T199">
        <v>130</v>
      </c>
      <c r="V199">
        <v>0</v>
      </c>
      <c r="W199">
        <v>0</v>
      </c>
      <c r="X199" t="s">
        <v>246</v>
      </c>
      <c r="Y199">
        <v>-1</v>
      </c>
      <c r="Z199">
        <v>10</v>
      </c>
      <c r="AA199">
        <v>551.11</v>
      </c>
      <c r="AB199">
        <v>130</v>
      </c>
      <c r="AC199">
        <v>123.7</v>
      </c>
      <c r="AD199">
        <v>0.51</v>
      </c>
      <c r="AE199">
        <v>7.0000000000000007E-2</v>
      </c>
      <c r="AF199">
        <v>0.13</v>
      </c>
      <c r="AG199">
        <v>1</v>
      </c>
      <c r="AH199">
        <v>123.7</v>
      </c>
      <c r="AI199">
        <v>123.7</v>
      </c>
      <c r="AJ199">
        <v>123.7</v>
      </c>
      <c r="AK199">
        <v>0.51</v>
      </c>
      <c r="AL199">
        <v>0.51</v>
      </c>
      <c r="AM199">
        <v>0.51</v>
      </c>
      <c r="AN199">
        <v>7.0000000000000007E-2</v>
      </c>
      <c r="AO199">
        <v>7.0000000000000007E-2</v>
      </c>
      <c r="AP199">
        <v>7.0000000000000007E-2</v>
      </c>
      <c r="AQ199">
        <v>551.1132222</v>
      </c>
      <c r="AR199">
        <v>0</v>
      </c>
      <c r="AS199">
        <v>198</v>
      </c>
      <c r="AT199">
        <v>1</v>
      </c>
      <c r="AU199">
        <v>198</v>
      </c>
      <c r="AV199">
        <v>10</v>
      </c>
      <c r="AW199" t="s">
        <v>837</v>
      </c>
      <c r="AX199" t="s">
        <v>158</v>
      </c>
      <c r="AY199" t="s">
        <v>501</v>
      </c>
      <c r="AZ199">
        <v>1741</v>
      </c>
      <c r="BA199" t="s">
        <v>726</v>
      </c>
      <c r="BB199">
        <v>947</v>
      </c>
      <c r="BC199" t="s">
        <v>700</v>
      </c>
      <c r="BD199">
        <v>1950</v>
      </c>
      <c r="BE199">
        <v>1</v>
      </c>
      <c r="BF199">
        <v>835.81779389999997</v>
      </c>
    </row>
    <row r="200" spans="1:58" x14ac:dyDescent="0.2">
      <c r="A200">
        <v>199</v>
      </c>
      <c r="B200" t="s">
        <v>247</v>
      </c>
      <c r="C200">
        <v>0</v>
      </c>
      <c r="H200" t="s">
        <v>247</v>
      </c>
      <c r="I200" t="s">
        <v>158</v>
      </c>
      <c r="Q200" t="s">
        <v>247</v>
      </c>
      <c r="R200">
        <v>25.961845010000001</v>
      </c>
      <c r="S200">
        <v>10</v>
      </c>
      <c r="T200">
        <v>130</v>
      </c>
      <c r="V200">
        <v>0</v>
      </c>
      <c r="W200">
        <v>0</v>
      </c>
      <c r="X200" t="s">
        <v>247</v>
      </c>
      <c r="Y200">
        <v>-1</v>
      </c>
      <c r="Z200">
        <v>10</v>
      </c>
      <c r="AA200">
        <v>25.96</v>
      </c>
      <c r="AB200">
        <v>130</v>
      </c>
      <c r="AC200">
        <v>124.53</v>
      </c>
      <c r="AD200">
        <v>0.51</v>
      </c>
      <c r="AE200">
        <v>0</v>
      </c>
      <c r="AF200">
        <v>0.13</v>
      </c>
      <c r="AG200">
        <v>1</v>
      </c>
      <c r="AH200">
        <v>124.53</v>
      </c>
      <c r="AI200">
        <v>124.53</v>
      </c>
      <c r="AJ200">
        <v>124.53</v>
      </c>
      <c r="AK200">
        <v>0.51</v>
      </c>
      <c r="AL200">
        <v>0.51</v>
      </c>
      <c r="AM200">
        <v>0.51</v>
      </c>
      <c r="AN200">
        <v>0</v>
      </c>
      <c r="AO200">
        <v>0</v>
      </c>
      <c r="AP200">
        <v>0</v>
      </c>
      <c r="AQ200">
        <v>25.961845</v>
      </c>
      <c r="AR200">
        <v>0</v>
      </c>
      <c r="AS200">
        <v>199</v>
      </c>
      <c r="AT200">
        <v>1</v>
      </c>
      <c r="AU200">
        <v>199</v>
      </c>
      <c r="AV200">
        <v>10</v>
      </c>
      <c r="AW200" t="s">
        <v>722</v>
      </c>
      <c r="AX200" t="s">
        <v>158</v>
      </c>
      <c r="AY200" t="s">
        <v>501</v>
      </c>
      <c r="AZ200">
        <v>1740</v>
      </c>
      <c r="BA200" t="s">
        <v>723</v>
      </c>
      <c r="BB200">
        <v>1049</v>
      </c>
      <c r="BC200" t="s">
        <v>718</v>
      </c>
      <c r="BD200">
        <v>1950</v>
      </c>
      <c r="BE200">
        <v>1</v>
      </c>
      <c r="BF200">
        <v>757.82909540000003</v>
      </c>
    </row>
    <row r="201" spans="1:58" x14ac:dyDescent="0.2">
      <c r="A201">
        <v>200</v>
      </c>
      <c r="B201" t="s">
        <v>248</v>
      </c>
      <c r="C201">
        <v>0</v>
      </c>
      <c r="H201" t="s">
        <v>248</v>
      </c>
      <c r="I201" t="s">
        <v>158</v>
      </c>
      <c r="Q201" t="s">
        <v>248</v>
      </c>
      <c r="R201">
        <v>697.54764639999996</v>
      </c>
      <c r="S201">
        <v>10</v>
      </c>
      <c r="T201">
        <v>130</v>
      </c>
      <c r="V201">
        <v>0</v>
      </c>
      <c r="W201">
        <v>0</v>
      </c>
      <c r="X201" t="s">
        <v>248</v>
      </c>
      <c r="Y201">
        <v>-1</v>
      </c>
      <c r="Z201">
        <v>10</v>
      </c>
      <c r="AA201">
        <v>697.55</v>
      </c>
      <c r="AB201">
        <v>130</v>
      </c>
      <c r="AC201">
        <v>124.53</v>
      </c>
      <c r="AD201">
        <v>0.51</v>
      </c>
      <c r="AE201">
        <v>0.09</v>
      </c>
      <c r="AF201">
        <v>0.13</v>
      </c>
      <c r="AG201">
        <v>1</v>
      </c>
      <c r="AH201">
        <v>124.53</v>
      </c>
      <c r="AI201">
        <v>124.53</v>
      </c>
      <c r="AJ201">
        <v>124.53</v>
      </c>
      <c r="AK201">
        <v>0.51</v>
      </c>
      <c r="AL201">
        <v>0.51</v>
      </c>
      <c r="AM201">
        <v>0.51</v>
      </c>
      <c r="AN201">
        <v>0.09</v>
      </c>
      <c r="AO201">
        <v>0.09</v>
      </c>
      <c r="AP201">
        <v>0.09</v>
      </c>
      <c r="AQ201">
        <v>697.5476463</v>
      </c>
      <c r="AR201">
        <v>0</v>
      </c>
      <c r="AS201">
        <v>200</v>
      </c>
      <c r="AT201">
        <v>1</v>
      </c>
      <c r="AU201">
        <v>200</v>
      </c>
      <c r="AV201">
        <v>10</v>
      </c>
      <c r="AW201" t="s">
        <v>722</v>
      </c>
      <c r="AX201" t="s">
        <v>158</v>
      </c>
      <c r="AY201" t="s">
        <v>501</v>
      </c>
      <c r="AZ201">
        <v>1740</v>
      </c>
      <c r="BA201" t="s">
        <v>723</v>
      </c>
      <c r="BB201">
        <v>1049</v>
      </c>
      <c r="BC201" t="s">
        <v>718</v>
      </c>
      <c r="BD201">
        <v>1950</v>
      </c>
      <c r="BE201">
        <v>1</v>
      </c>
      <c r="BF201">
        <v>757.82909540000003</v>
      </c>
    </row>
    <row r="202" spans="1:58" x14ac:dyDescent="0.2">
      <c r="A202">
        <v>201</v>
      </c>
      <c r="B202" t="s">
        <v>249</v>
      </c>
      <c r="C202">
        <v>0</v>
      </c>
      <c r="H202" t="s">
        <v>249</v>
      </c>
      <c r="I202" t="s">
        <v>158</v>
      </c>
      <c r="Q202" t="s">
        <v>249</v>
      </c>
      <c r="R202">
        <v>1110.021747</v>
      </c>
      <c r="S202">
        <v>10</v>
      </c>
      <c r="T202">
        <v>130</v>
      </c>
      <c r="V202">
        <v>0</v>
      </c>
      <c r="W202">
        <v>0</v>
      </c>
      <c r="X202" t="s">
        <v>249</v>
      </c>
      <c r="Y202">
        <v>-1</v>
      </c>
      <c r="Z202">
        <v>10</v>
      </c>
      <c r="AA202">
        <v>1110.02</v>
      </c>
      <c r="AB202">
        <v>130</v>
      </c>
      <c r="AC202">
        <v>100.73</v>
      </c>
      <c r="AD202">
        <v>0.41</v>
      </c>
      <c r="AE202">
        <v>0.1</v>
      </c>
      <c r="AF202">
        <v>0.09</v>
      </c>
      <c r="AG202">
        <v>1</v>
      </c>
      <c r="AH202">
        <v>100.73</v>
      </c>
      <c r="AI202">
        <v>100.73</v>
      </c>
      <c r="AJ202">
        <v>100.73</v>
      </c>
      <c r="AK202">
        <v>0.41</v>
      </c>
      <c r="AL202">
        <v>0.41</v>
      </c>
      <c r="AM202">
        <v>0.41</v>
      </c>
      <c r="AN202">
        <v>0.1</v>
      </c>
      <c r="AO202">
        <v>0.1</v>
      </c>
      <c r="AP202">
        <v>0.1</v>
      </c>
      <c r="AQ202">
        <v>1110.021747</v>
      </c>
      <c r="AR202">
        <v>0</v>
      </c>
      <c r="AS202">
        <v>201</v>
      </c>
      <c r="AT202">
        <v>1</v>
      </c>
      <c r="AU202">
        <v>201</v>
      </c>
      <c r="AV202">
        <v>10</v>
      </c>
      <c r="AW202" t="s">
        <v>720</v>
      </c>
      <c r="AX202" t="s">
        <v>158</v>
      </c>
      <c r="AY202" t="s">
        <v>501</v>
      </c>
      <c r="AZ202">
        <v>1049</v>
      </c>
      <c r="BA202" t="s">
        <v>718</v>
      </c>
      <c r="BB202">
        <v>1739</v>
      </c>
      <c r="BC202" t="s">
        <v>721</v>
      </c>
      <c r="BD202">
        <v>1950</v>
      </c>
      <c r="BE202">
        <v>0</v>
      </c>
      <c r="BF202">
        <v>1110.0217929999999</v>
      </c>
    </row>
    <row r="203" spans="1:58" x14ac:dyDescent="0.2">
      <c r="A203">
        <v>202</v>
      </c>
      <c r="B203" t="s">
        <v>250</v>
      </c>
      <c r="C203">
        <v>0</v>
      </c>
      <c r="H203" t="s">
        <v>250</v>
      </c>
      <c r="I203" t="s">
        <v>158</v>
      </c>
      <c r="Q203" t="s">
        <v>250</v>
      </c>
      <c r="R203">
        <v>285.35923969999999</v>
      </c>
      <c r="S203">
        <v>10</v>
      </c>
      <c r="T203">
        <v>130</v>
      </c>
      <c r="V203">
        <v>0</v>
      </c>
      <c r="W203">
        <v>0</v>
      </c>
      <c r="X203" t="s">
        <v>250</v>
      </c>
      <c r="Y203">
        <v>-1</v>
      </c>
      <c r="Z203">
        <v>10</v>
      </c>
      <c r="AA203">
        <v>285.36</v>
      </c>
      <c r="AB203">
        <v>130</v>
      </c>
      <c r="AC203">
        <v>100.73</v>
      </c>
      <c r="AD203">
        <v>0.41</v>
      </c>
      <c r="AE203">
        <v>0.03</v>
      </c>
      <c r="AF203">
        <v>0.09</v>
      </c>
      <c r="AG203">
        <v>1</v>
      </c>
      <c r="AH203">
        <v>100.73</v>
      </c>
      <c r="AI203">
        <v>100.73</v>
      </c>
      <c r="AJ203">
        <v>100.73</v>
      </c>
      <c r="AK203">
        <v>0.41</v>
      </c>
      <c r="AL203">
        <v>0.41</v>
      </c>
      <c r="AM203">
        <v>0.41</v>
      </c>
      <c r="AN203">
        <v>0.03</v>
      </c>
      <c r="AO203">
        <v>0.03</v>
      </c>
      <c r="AP203">
        <v>0.03</v>
      </c>
      <c r="AQ203">
        <v>285.35923969999999</v>
      </c>
      <c r="AR203">
        <v>0</v>
      </c>
      <c r="AS203">
        <v>202</v>
      </c>
      <c r="AT203">
        <v>1</v>
      </c>
      <c r="AU203">
        <v>202</v>
      </c>
      <c r="AV203">
        <v>6</v>
      </c>
      <c r="AW203" t="s">
        <v>838</v>
      </c>
      <c r="AX203" t="s">
        <v>45</v>
      </c>
      <c r="AY203" t="s">
        <v>501</v>
      </c>
      <c r="AZ203">
        <v>1585</v>
      </c>
      <c r="BA203" t="s">
        <v>839</v>
      </c>
      <c r="BB203">
        <v>1739</v>
      </c>
      <c r="BC203" t="s">
        <v>721</v>
      </c>
      <c r="BD203">
        <v>1980</v>
      </c>
      <c r="BE203">
        <v>0</v>
      </c>
      <c r="BF203">
        <v>13.484098120000001</v>
      </c>
    </row>
    <row r="204" spans="1:58" x14ac:dyDescent="0.2">
      <c r="A204">
        <v>203</v>
      </c>
      <c r="B204" t="s">
        <v>251</v>
      </c>
      <c r="C204">
        <v>0</v>
      </c>
      <c r="H204" t="s">
        <v>251</v>
      </c>
      <c r="I204" t="s">
        <v>158</v>
      </c>
      <c r="Q204" t="s">
        <v>251</v>
      </c>
      <c r="R204">
        <v>401.92788839999997</v>
      </c>
      <c r="S204">
        <v>10</v>
      </c>
      <c r="T204">
        <v>130</v>
      </c>
      <c r="V204">
        <v>0</v>
      </c>
      <c r="W204">
        <v>0</v>
      </c>
      <c r="X204" t="s">
        <v>251</v>
      </c>
      <c r="Y204">
        <v>1</v>
      </c>
      <c r="Z204">
        <v>10</v>
      </c>
      <c r="AA204">
        <v>401.93</v>
      </c>
      <c r="AB204">
        <v>130</v>
      </c>
      <c r="AC204">
        <v>100.73</v>
      </c>
      <c r="AD204">
        <v>0.41</v>
      </c>
      <c r="AE204">
        <v>0.04</v>
      </c>
      <c r="AF204">
        <v>0.09</v>
      </c>
      <c r="AG204">
        <v>1</v>
      </c>
      <c r="AH204">
        <v>100.73</v>
      </c>
      <c r="AI204">
        <v>100.73</v>
      </c>
      <c r="AJ204">
        <v>100.73</v>
      </c>
      <c r="AK204">
        <v>0.41</v>
      </c>
      <c r="AL204">
        <v>0.41</v>
      </c>
      <c r="AM204">
        <v>0.41</v>
      </c>
      <c r="AN204">
        <v>0.04</v>
      </c>
      <c r="AO204">
        <v>0.04</v>
      </c>
      <c r="AP204">
        <v>0.04</v>
      </c>
      <c r="AQ204">
        <v>401.92788839999997</v>
      </c>
      <c r="AR204">
        <v>0</v>
      </c>
      <c r="AS204">
        <v>203</v>
      </c>
      <c r="AT204">
        <v>1</v>
      </c>
      <c r="AU204">
        <v>203</v>
      </c>
      <c r="AV204">
        <v>10</v>
      </c>
      <c r="AW204" t="s">
        <v>840</v>
      </c>
      <c r="AX204" t="s">
        <v>158</v>
      </c>
      <c r="AY204" t="s">
        <v>501</v>
      </c>
      <c r="AZ204">
        <v>878</v>
      </c>
      <c r="BA204" t="s">
        <v>841</v>
      </c>
      <c r="BB204">
        <v>1169</v>
      </c>
      <c r="BC204" t="s">
        <v>842</v>
      </c>
      <c r="BD204">
        <v>1950</v>
      </c>
      <c r="BE204">
        <v>0</v>
      </c>
      <c r="BF204">
        <v>401.92826330000003</v>
      </c>
    </row>
    <row r="205" spans="1:58" x14ac:dyDescent="0.2">
      <c r="A205">
        <v>204</v>
      </c>
      <c r="B205" t="s">
        <v>252</v>
      </c>
      <c r="C205">
        <v>0</v>
      </c>
      <c r="H205" t="s">
        <v>252</v>
      </c>
      <c r="I205" t="s">
        <v>158</v>
      </c>
      <c r="Q205" t="s">
        <v>252</v>
      </c>
      <c r="R205">
        <v>30.560740450000001</v>
      </c>
      <c r="S205">
        <v>8</v>
      </c>
      <c r="T205">
        <v>130</v>
      </c>
      <c r="V205">
        <v>0</v>
      </c>
      <c r="W205">
        <v>0</v>
      </c>
      <c r="X205" t="s">
        <v>252</v>
      </c>
      <c r="Y205">
        <v>-1</v>
      </c>
      <c r="Z205">
        <v>8</v>
      </c>
      <c r="AA205">
        <v>30.56</v>
      </c>
      <c r="AB205">
        <v>130</v>
      </c>
      <c r="AC205">
        <v>24.5</v>
      </c>
      <c r="AD205">
        <v>0.16</v>
      </c>
      <c r="AE205">
        <v>0</v>
      </c>
      <c r="AF205">
        <v>0.02</v>
      </c>
      <c r="AG205">
        <v>1</v>
      </c>
      <c r="AH205">
        <v>24.5</v>
      </c>
      <c r="AI205">
        <v>24.5</v>
      </c>
      <c r="AJ205">
        <v>24.5</v>
      </c>
      <c r="AK205">
        <v>0.16</v>
      </c>
      <c r="AL205">
        <v>0.16</v>
      </c>
      <c r="AM205">
        <v>0.16</v>
      </c>
      <c r="AN205">
        <v>0</v>
      </c>
      <c r="AO205">
        <v>0</v>
      </c>
      <c r="AP205">
        <v>0</v>
      </c>
      <c r="AQ205">
        <v>30.560740450000001</v>
      </c>
      <c r="AR205">
        <v>0</v>
      </c>
      <c r="AS205">
        <v>204</v>
      </c>
      <c r="AT205">
        <v>1</v>
      </c>
      <c r="AU205">
        <v>204</v>
      </c>
      <c r="AV205">
        <v>10</v>
      </c>
      <c r="AW205" t="s">
        <v>722</v>
      </c>
      <c r="AX205" t="s">
        <v>158</v>
      </c>
      <c r="AY205" t="s">
        <v>501</v>
      </c>
      <c r="AZ205">
        <v>1740</v>
      </c>
      <c r="BA205" t="s">
        <v>723</v>
      </c>
      <c r="BB205">
        <v>1049</v>
      </c>
      <c r="BC205" t="s">
        <v>718</v>
      </c>
      <c r="BD205">
        <v>1950</v>
      </c>
      <c r="BE205">
        <v>1</v>
      </c>
      <c r="BF205">
        <v>757.82909540000003</v>
      </c>
    </row>
    <row r="206" spans="1:58" x14ac:dyDescent="0.2">
      <c r="A206">
        <v>205</v>
      </c>
      <c r="B206" t="s">
        <v>253</v>
      </c>
      <c r="C206">
        <v>0</v>
      </c>
      <c r="H206" t="s">
        <v>253</v>
      </c>
      <c r="I206" t="s">
        <v>158</v>
      </c>
      <c r="Q206" t="s">
        <v>253</v>
      </c>
      <c r="R206">
        <v>320.27901609999998</v>
      </c>
      <c r="S206">
        <v>8</v>
      </c>
      <c r="T206">
        <v>130</v>
      </c>
      <c r="V206">
        <v>0</v>
      </c>
      <c r="W206">
        <v>0</v>
      </c>
      <c r="X206" t="s">
        <v>253</v>
      </c>
      <c r="Y206">
        <v>-1</v>
      </c>
      <c r="Z206">
        <v>8</v>
      </c>
      <c r="AA206">
        <v>320.27999999999997</v>
      </c>
      <c r="AB206">
        <v>130</v>
      </c>
      <c r="AC206">
        <v>24.5</v>
      </c>
      <c r="AD206">
        <v>0.16</v>
      </c>
      <c r="AE206">
        <v>0.01</v>
      </c>
      <c r="AF206">
        <v>0.02</v>
      </c>
      <c r="AG206">
        <v>1</v>
      </c>
      <c r="AH206">
        <v>24.5</v>
      </c>
      <c r="AI206">
        <v>24.5</v>
      </c>
      <c r="AJ206">
        <v>24.5</v>
      </c>
      <c r="AK206">
        <v>0.16</v>
      </c>
      <c r="AL206">
        <v>0.16</v>
      </c>
      <c r="AM206">
        <v>0.16</v>
      </c>
      <c r="AN206">
        <v>0.01</v>
      </c>
      <c r="AO206">
        <v>0.01</v>
      </c>
      <c r="AP206">
        <v>0.01</v>
      </c>
      <c r="AQ206">
        <v>320.27901609999998</v>
      </c>
      <c r="AR206">
        <v>0</v>
      </c>
      <c r="AS206">
        <v>205</v>
      </c>
      <c r="AT206">
        <v>1</v>
      </c>
      <c r="AU206">
        <v>205</v>
      </c>
      <c r="AV206">
        <v>8</v>
      </c>
      <c r="AW206" t="s">
        <v>717</v>
      </c>
      <c r="AX206" t="s">
        <v>158</v>
      </c>
      <c r="AY206" t="s">
        <v>501</v>
      </c>
      <c r="AZ206">
        <v>1049</v>
      </c>
      <c r="BA206" t="s">
        <v>718</v>
      </c>
      <c r="BB206">
        <v>1738</v>
      </c>
      <c r="BC206" t="s">
        <v>719</v>
      </c>
      <c r="BD206">
        <v>1950</v>
      </c>
      <c r="BE206">
        <v>1</v>
      </c>
      <c r="BF206">
        <v>385.31463860000002</v>
      </c>
    </row>
    <row r="207" spans="1:58" x14ac:dyDescent="0.2">
      <c r="A207">
        <v>206</v>
      </c>
      <c r="B207" t="s">
        <v>254</v>
      </c>
      <c r="C207">
        <v>0</v>
      </c>
      <c r="H207" t="s">
        <v>254</v>
      </c>
      <c r="I207" t="s">
        <v>158</v>
      </c>
      <c r="Q207" t="s">
        <v>254</v>
      </c>
      <c r="R207">
        <v>875.94240449999995</v>
      </c>
      <c r="S207">
        <v>8</v>
      </c>
      <c r="T207">
        <v>130</v>
      </c>
      <c r="V207">
        <v>0</v>
      </c>
      <c r="W207">
        <v>0</v>
      </c>
      <c r="X207" t="s">
        <v>254</v>
      </c>
      <c r="Y207">
        <v>-1</v>
      </c>
      <c r="Z207">
        <v>8</v>
      </c>
      <c r="AA207">
        <v>875.94</v>
      </c>
      <c r="AB207">
        <v>130</v>
      </c>
      <c r="AC207">
        <v>25.06</v>
      </c>
      <c r="AD207">
        <v>0.16</v>
      </c>
      <c r="AE207">
        <v>0.02</v>
      </c>
      <c r="AF207">
        <v>0.02</v>
      </c>
      <c r="AG207">
        <v>1</v>
      </c>
      <c r="AH207">
        <v>25.06</v>
      </c>
      <c r="AI207">
        <v>25.06</v>
      </c>
      <c r="AJ207">
        <v>25.06</v>
      </c>
      <c r="AK207">
        <v>0.16</v>
      </c>
      <c r="AL207">
        <v>0.16</v>
      </c>
      <c r="AM207">
        <v>0.16</v>
      </c>
      <c r="AN207">
        <v>0.02</v>
      </c>
      <c r="AO207">
        <v>0.02</v>
      </c>
      <c r="AP207">
        <v>0.02</v>
      </c>
      <c r="AQ207">
        <v>875.94240449999995</v>
      </c>
      <c r="AR207">
        <v>0</v>
      </c>
      <c r="AS207">
        <v>206</v>
      </c>
      <c r="AT207">
        <v>1</v>
      </c>
      <c r="AU207">
        <v>206</v>
      </c>
      <c r="AV207">
        <v>6</v>
      </c>
      <c r="AW207" t="s">
        <v>843</v>
      </c>
      <c r="AX207" t="s">
        <v>45</v>
      </c>
      <c r="AY207" t="s">
        <v>501</v>
      </c>
      <c r="AZ207">
        <v>1583</v>
      </c>
      <c r="BA207" t="s">
        <v>844</v>
      </c>
      <c r="BB207">
        <v>1737</v>
      </c>
      <c r="BC207" t="s">
        <v>716</v>
      </c>
      <c r="BD207">
        <v>1980</v>
      </c>
      <c r="BE207">
        <v>0</v>
      </c>
      <c r="BF207">
        <v>45.022168260000001</v>
      </c>
    </row>
    <row r="208" spans="1:58" x14ac:dyDescent="0.2">
      <c r="A208">
        <v>207</v>
      </c>
      <c r="B208" t="s">
        <v>255</v>
      </c>
      <c r="C208">
        <v>0</v>
      </c>
      <c r="H208" t="s">
        <v>255</v>
      </c>
      <c r="I208" t="s">
        <v>158</v>
      </c>
      <c r="Q208" t="s">
        <v>255</v>
      </c>
      <c r="R208">
        <v>599.27374970000005</v>
      </c>
      <c r="S208">
        <v>8</v>
      </c>
      <c r="T208">
        <v>130</v>
      </c>
      <c r="V208">
        <v>0</v>
      </c>
      <c r="W208">
        <v>0</v>
      </c>
      <c r="X208" t="s">
        <v>255</v>
      </c>
      <c r="Y208">
        <v>-1</v>
      </c>
      <c r="Z208">
        <v>8</v>
      </c>
      <c r="AA208">
        <v>599.27</v>
      </c>
      <c r="AB208">
        <v>130</v>
      </c>
      <c r="AC208">
        <v>26.03</v>
      </c>
      <c r="AD208">
        <v>0.17</v>
      </c>
      <c r="AE208">
        <v>0.01</v>
      </c>
      <c r="AF208">
        <v>0.02</v>
      </c>
      <c r="AG208">
        <v>1</v>
      </c>
      <c r="AH208">
        <v>26.03</v>
      </c>
      <c r="AI208">
        <v>26.03</v>
      </c>
      <c r="AJ208">
        <v>26.03</v>
      </c>
      <c r="AK208">
        <v>0.17</v>
      </c>
      <c r="AL208">
        <v>0.17</v>
      </c>
      <c r="AM208">
        <v>0.17</v>
      </c>
      <c r="AN208">
        <v>0.01</v>
      </c>
      <c r="AO208">
        <v>0.01</v>
      </c>
      <c r="AP208">
        <v>0.01</v>
      </c>
      <c r="AQ208">
        <v>599.27374970000005</v>
      </c>
      <c r="AR208">
        <v>0</v>
      </c>
      <c r="AS208">
        <v>207</v>
      </c>
      <c r="AT208">
        <v>1</v>
      </c>
      <c r="AU208">
        <v>207</v>
      </c>
      <c r="AV208">
        <v>8</v>
      </c>
      <c r="AW208" t="s">
        <v>715</v>
      </c>
      <c r="AX208" t="s">
        <v>158</v>
      </c>
      <c r="AY208" t="s">
        <v>501</v>
      </c>
      <c r="AZ208">
        <v>1737</v>
      </c>
      <c r="BA208" t="s">
        <v>716</v>
      </c>
      <c r="BB208">
        <v>1736</v>
      </c>
      <c r="BC208" t="s">
        <v>714</v>
      </c>
      <c r="BD208">
        <v>1950</v>
      </c>
      <c r="BE208">
        <v>1</v>
      </c>
      <c r="BF208">
        <v>570.33036330000004</v>
      </c>
    </row>
    <row r="209" spans="1:58" x14ac:dyDescent="0.2">
      <c r="A209">
        <v>208</v>
      </c>
      <c r="B209" t="s">
        <v>256</v>
      </c>
      <c r="C209">
        <v>0</v>
      </c>
      <c r="H209" t="s">
        <v>256</v>
      </c>
      <c r="I209" t="s">
        <v>158</v>
      </c>
      <c r="Q209" t="s">
        <v>256</v>
      </c>
      <c r="R209">
        <v>616.78315769999995</v>
      </c>
      <c r="S209">
        <v>8</v>
      </c>
      <c r="T209">
        <v>130</v>
      </c>
      <c r="V209">
        <v>0</v>
      </c>
      <c r="W209">
        <v>0</v>
      </c>
      <c r="X209" t="s">
        <v>256</v>
      </c>
      <c r="Y209">
        <v>-1</v>
      </c>
      <c r="Z209">
        <v>8</v>
      </c>
      <c r="AA209">
        <v>616.78</v>
      </c>
      <c r="AB209">
        <v>130</v>
      </c>
      <c r="AC209">
        <v>26.86</v>
      </c>
      <c r="AD209">
        <v>0.17</v>
      </c>
      <c r="AE209">
        <v>0.01</v>
      </c>
      <c r="AF209">
        <v>0.02</v>
      </c>
      <c r="AG209">
        <v>1</v>
      </c>
      <c r="AH209">
        <v>26.86</v>
      </c>
      <c r="AI209">
        <v>26.86</v>
      </c>
      <c r="AJ209">
        <v>26.86</v>
      </c>
      <c r="AK209">
        <v>0.17</v>
      </c>
      <c r="AL209">
        <v>0.17</v>
      </c>
      <c r="AM209">
        <v>0.17</v>
      </c>
      <c r="AN209">
        <v>0.01</v>
      </c>
      <c r="AO209">
        <v>0.01</v>
      </c>
      <c r="AP209">
        <v>0.01</v>
      </c>
      <c r="AQ209">
        <v>616.78315769999995</v>
      </c>
      <c r="AR209">
        <v>0</v>
      </c>
      <c r="AS209">
        <v>208</v>
      </c>
      <c r="AT209">
        <v>1</v>
      </c>
      <c r="AU209">
        <v>208</v>
      </c>
      <c r="AV209">
        <v>6</v>
      </c>
      <c r="AW209" t="s">
        <v>845</v>
      </c>
      <c r="AX209" t="s">
        <v>45</v>
      </c>
      <c r="AY209" t="s">
        <v>501</v>
      </c>
      <c r="AZ209">
        <v>1582</v>
      </c>
      <c r="BA209" t="s">
        <v>846</v>
      </c>
      <c r="BB209">
        <v>1736</v>
      </c>
      <c r="BC209" t="s">
        <v>714</v>
      </c>
      <c r="BD209">
        <v>1980</v>
      </c>
      <c r="BE209">
        <v>0</v>
      </c>
      <c r="BF209">
        <v>45.138844929999998</v>
      </c>
    </row>
    <row r="210" spans="1:58" x14ac:dyDescent="0.2">
      <c r="A210">
        <v>209</v>
      </c>
      <c r="B210" t="s">
        <v>257</v>
      </c>
      <c r="C210">
        <v>0</v>
      </c>
      <c r="H210" t="s">
        <v>257</v>
      </c>
      <c r="I210" t="s">
        <v>158</v>
      </c>
      <c r="Q210" t="s">
        <v>257</v>
      </c>
      <c r="R210">
        <v>33.535813070000003</v>
      </c>
      <c r="S210">
        <v>6</v>
      </c>
      <c r="T210">
        <v>130</v>
      </c>
      <c r="V210">
        <v>0</v>
      </c>
      <c r="W210">
        <v>0</v>
      </c>
      <c r="X210" t="s">
        <v>257</v>
      </c>
      <c r="Y210">
        <v>1</v>
      </c>
      <c r="Z210">
        <v>6</v>
      </c>
      <c r="AA210">
        <v>33.54</v>
      </c>
      <c r="AB210">
        <v>130</v>
      </c>
      <c r="AC210">
        <v>2.82</v>
      </c>
      <c r="AD210">
        <v>0.03</v>
      </c>
      <c r="AE210">
        <v>0</v>
      </c>
      <c r="AF210">
        <v>0</v>
      </c>
      <c r="AG210">
        <v>1</v>
      </c>
      <c r="AH210">
        <v>2.82</v>
      </c>
      <c r="AI210">
        <v>2.82</v>
      </c>
      <c r="AJ210">
        <v>2.82</v>
      </c>
      <c r="AK210">
        <v>0.03</v>
      </c>
      <c r="AL210">
        <v>0.03</v>
      </c>
      <c r="AM210">
        <v>0.03</v>
      </c>
      <c r="AN210">
        <v>0</v>
      </c>
      <c r="AO210">
        <v>0</v>
      </c>
      <c r="AP210">
        <v>0</v>
      </c>
      <c r="AQ210">
        <v>33.535813070000003</v>
      </c>
      <c r="AR210">
        <v>0</v>
      </c>
      <c r="AS210">
        <v>209</v>
      </c>
      <c r="AT210">
        <v>1</v>
      </c>
      <c r="AU210">
        <v>209</v>
      </c>
      <c r="AV210">
        <v>6</v>
      </c>
      <c r="AW210" t="s">
        <v>847</v>
      </c>
      <c r="AX210" t="s">
        <v>158</v>
      </c>
      <c r="AY210" t="s">
        <v>501</v>
      </c>
      <c r="AZ210">
        <v>843</v>
      </c>
      <c r="BA210" t="s">
        <v>792</v>
      </c>
      <c r="BB210">
        <v>1696</v>
      </c>
      <c r="BC210" t="s">
        <v>599</v>
      </c>
      <c r="BD210">
        <v>1950</v>
      </c>
      <c r="BE210">
        <v>0</v>
      </c>
      <c r="BF210">
        <v>127.8855532</v>
      </c>
    </row>
    <row r="211" spans="1:58" x14ac:dyDescent="0.2">
      <c r="A211">
        <v>210</v>
      </c>
      <c r="B211" t="s">
        <v>258</v>
      </c>
      <c r="C211">
        <v>0</v>
      </c>
      <c r="H211" t="s">
        <v>258</v>
      </c>
      <c r="I211" t="s">
        <v>158</v>
      </c>
      <c r="Q211" t="s">
        <v>258</v>
      </c>
      <c r="R211">
        <v>94.34963424</v>
      </c>
      <c r="S211">
        <v>6</v>
      </c>
      <c r="T211">
        <v>130</v>
      </c>
      <c r="V211">
        <v>0</v>
      </c>
      <c r="W211">
        <v>0</v>
      </c>
      <c r="X211" t="s">
        <v>258</v>
      </c>
      <c r="Y211">
        <v>1</v>
      </c>
      <c r="Z211">
        <v>6</v>
      </c>
      <c r="AA211">
        <v>94.35</v>
      </c>
      <c r="AB211">
        <v>130</v>
      </c>
      <c r="AC211">
        <v>2.82</v>
      </c>
      <c r="AD211">
        <v>0.03</v>
      </c>
      <c r="AE211">
        <v>0</v>
      </c>
      <c r="AF211">
        <v>0</v>
      </c>
      <c r="AG211">
        <v>1</v>
      </c>
      <c r="AH211">
        <v>2.82</v>
      </c>
      <c r="AI211">
        <v>2.82</v>
      </c>
      <c r="AJ211">
        <v>2.82</v>
      </c>
      <c r="AK211">
        <v>0.03</v>
      </c>
      <c r="AL211">
        <v>0.03</v>
      </c>
      <c r="AM211">
        <v>0.03</v>
      </c>
      <c r="AN211">
        <v>0</v>
      </c>
      <c r="AO211">
        <v>0</v>
      </c>
      <c r="AP211">
        <v>0</v>
      </c>
      <c r="AQ211">
        <v>94.34963424</v>
      </c>
      <c r="AR211">
        <v>0</v>
      </c>
      <c r="AS211">
        <v>210</v>
      </c>
      <c r="AT211">
        <v>1</v>
      </c>
      <c r="AU211">
        <v>210</v>
      </c>
      <c r="AV211">
        <v>6</v>
      </c>
      <c r="AW211" t="s">
        <v>847</v>
      </c>
      <c r="AX211" t="s">
        <v>158</v>
      </c>
      <c r="AY211" t="s">
        <v>501</v>
      </c>
      <c r="AZ211">
        <v>843</v>
      </c>
      <c r="BA211" t="s">
        <v>792</v>
      </c>
      <c r="BB211">
        <v>1696</v>
      </c>
      <c r="BC211" t="s">
        <v>599</v>
      </c>
      <c r="BD211">
        <v>1950</v>
      </c>
      <c r="BE211">
        <v>0</v>
      </c>
      <c r="BF211">
        <v>127.8855532</v>
      </c>
    </row>
    <row r="212" spans="1:58" x14ac:dyDescent="0.2">
      <c r="A212">
        <v>211</v>
      </c>
      <c r="B212" t="s">
        <v>259</v>
      </c>
      <c r="C212">
        <v>0</v>
      </c>
      <c r="H212" t="s">
        <v>259</v>
      </c>
      <c r="I212" t="s">
        <v>158</v>
      </c>
      <c r="Q212" t="s">
        <v>259</v>
      </c>
      <c r="R212">
        <v>324.69508869999999</v>
      </c>
      <c r="S212">
        <v>6</v>
      </c>
      <c r="T212">
        <v>130</v>
      </c>
      <c r="V212">
        <v>0</v>
      </c>
      <c r="W212">
        <v>0</v>
      </c>
      <c r="X212" t="s">
        <v>259</v>
      </c>
      <c r="Y212">
        <v>1</v>
      </c>
      <c r="Z212">
        <v>6</v>
      </c>
      <c r="AA212">
        <v>324.7</v>
      </c>
      <c r="AB212">
        <v>130</v>
      </c>
      <c r="AC212">
        <v>2.5499999999999998</v>
      </c>
      <c r="AD212">
        <v>0.03</v>
      </c>
      <c r="AE212">
        <v>0</v>
      </c>
      <c r="AF212">
        <v>0</v>
      </c>
      <c r="AG212">
        <v>1</v>
      </c>
      <c r="AH212">
        <v>2.5499999999999998</v>
      </c>
      <c r="AI212">
        <v>2.5499999999999998</v>
      </c>
      <c r="AJ212">
        <v>2.5499999999999998</v>
      </c>
      <c r="AK212">
        <v>0.03</v>
      </c>
      <c r="AL212">
        <v>0.03</v>
      </c>
      <c r="AM212">
        <v>0.03</v>
      </c>
      <c r="AN212">
        <v>0</v>
      </c>
      <c r="AO212">
        <v>0</v>
      </c>
      <c r="AP212">
        <v>0</v>
      </c>
      <c r="AQ212">
        <v>324.69508869999999</v>
      </c>
      <c r="AR212">
        <v>0</v>
      </c>
      <c r="AS212">
        <v>211</v>
      </c>
      <c r="AT212">
        <v>1</v>
      </c>
      <c r="AU212">
        <v>211</v>
      </c>
      <c r="AV212">
        <v>6</v>
      </c>
      <c r="AW212" t="s">
        <v>848</v>
      </c>
      <c r="AX212" t="s">
        <v>158</v>
      </c>
      <c r="AY212" t="s">
        <v>501</v>
      </c>
      <c r="AZ212">
        <v>1696</v>
      </c>
      <c r="BA212" t="s">
        <v>599</v>
      </c>
      <c r="BB212">
        <v>972</v>
      </c>
      <c r="BC212" t="s">
        <v>849</v>
      </c>
      <c r="BD212">
        <v>1950</v>
      </c>
      <c r="BE212">
        <v>0</v>
      </c>
      <c r="BF212">
        <v>324.69504999999998</v>
      </c>
    </row>
    <row r="213" spans="1:58" x14ac:dyDescent="0.2">
      <c r="A213">
        <v>212</v>
      </c>
      <c r="B213" t="s">
        <v>260</v>
      </c>
      <c r="C213">
        <v>0</v>
      </c>
      <c r="H213" t="s">
        <v>260</v>
      </c>
      <c r="I213" t="s">
        <v>158</v>
      </c>
      <c r="Q213" t="s">
        <v>260</v>
      </c>
      <c r="R213">
        <v>285.7766742</v>
      </c>
      <c r="S213">
        <v>6</v>
      </c>
      <c r="T213">
        <v>130</v>
      </c>
      <c r="V213">
        <v>0</v>
      </c>
      <c r="W213">
        <v>0</v>
      </c>
      <c r="X213" t="s">
        <v>260</v>
      </c>
      <c r="Y213">
        <v>-1</v>
      </c>
      <c r="Z213">
        <v>6</v>
      </c>
      <c r="AA213">
        <v>285.77999999999997</v>
      </c>
      <c r="AB213">
        <v>130</v>
      </c>
      <c r="AC213">
        <v>17.41</v>
      </c>
      <c r="AD213">
        <v>0.2</v>
      </c>
      <c r="AE213">
        <v>0.01</v>
      </c>
      <c r="AF213">
        <v>0.04</v>
      </c>
      <c r="AG213">
        <v>1</v>
      </c>
      <c r="AH213">
        <v>17.41</v>
      </c>
      <c r="AI213">
        <v>17.41</v>
      </c>
      <c r="AJ213">
        <v>17.41</v>
      </c>
      <c r="AK213">
        <v>0.2</v>
      </c>
      <c r="AL213">
        <v>0.2</v>
      </c>
      <c r="AM213">
        <v>0.2</v>
      </c>
      <c r="AN213">
        <v>0.01</v>
      </c>
      <c r="AO213">
        <v>0.01</v>
      </c>
      <c r="AP213">
        <v>0.01</v>
      </c>
      <c r="AQ213">
        <v>285.7766742</v>
      </c>
      <c r="AR213">
        <v>0</v>
      </c>
      <c r="AS213">
        <v>212</v>
      </c>
      <c r="AT213">
        <v>1</v>
      </c>
      <c r="AU213">
        <v>212</v>
      </c>
      <c r="AV213">
        <v>6</v>
      </c>
      <c r="AW213" t="s">
        <v>850</v>
      </c>
      <c r="AX213" t="s">
        <v>158</v>
      </c>
      <c r="AY213" t="s">
        <v>501</v>
      </c>
      <c r="AZ213">
        <v>972</v>
      </c>
      <c r="BA213" t="s">
        <v>849</v>
      </c>
      <c r="BB213">
        <v>950</v>
      </c>
      <c r="BC213" t="s">
        <v>851</v>
      </c>
      <c r="BD213">
        <v>1950</v>
      </c>
      <c r="BE213">
        <v>0</v>
      </c>
      <c r="BF213">
        <v>285.77671859999998</v>
      </c>
    </row>
    <row r="214" spans="1:58" x14ac:dyDescent="0.2">
      <c r="A214">
        <v>213</v>
      </c>
      <c r="B214" t="s">
        <v>261</v>
      </c>
      <c r="C214">
        <v>0</v>
      </c>
      <c r="H214" t="s">
        <v>261</v>
      </c>
      <c r="I214" t="s">
        <v>158</v>
      </c>
      <c r="Q214" t="s">
        <v>261</v>
      </c>
      <c r="R214">
        <v>73.097704399999998</v>
      </c>
      <c r="S214">
        <v>6</v>
      </c>
      <c r="T214">
        <v>130</v>
      </c>
      <c r="V214">
        <v>0</v>
      </c>
      <c r="W214">
        <v>0</v>
      </c>
      <c r="X214" t="s">
        <v>261</v>
      </c>
      <c r="Y214">
        <v>0</v>
      </c>
      <c r="Z214">
        <v>6</v>
      </c>
      <c r="AA214">
        <v>73.099999999999994</v>
      </c>
      <c r="AB214">
        <v>130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73.097704399999998</v>
      </c>
      <c r="AR214">
        <v>0</v>
      </c>
      <c r="AS214">
        <v>213</v>
      </c>
      <c r="AT214">
        <v>1</v>
      </c>
      <c r="AU214">
        <v>213</v>
      </c>
      <c r="AV214">
        <v>6</v>
      </c>
      <c r="AW214" t="s">
        <v>588</v>
      </c>
      <c r="AX214" t="s">
        <v>45</v>
      </c>
      <c r="AY214" t="s">
        <v>501</v>
      </c>
      <c r="AZ214">
        <v>1535</v>
      </c>
      <c r="BA214" t="s">
        <v>589</v>
      </c>
      <c r="BB214">
        <v>967</v>
      </c>
      <c r="BC214" t="s">
        <v>590</v>
      </c>
      <c r="BD214">
        <v>1930</v>
      </c>
      <c r="BE214">
        <v>0</v>
      </c>
      <c r="BF214">
        <v>63.293679509999997</v>
      </c>
    </row>
    <row r="215" spans="1:58" x14ac:dyDescent="0.2">
      <c r="A215">
        <v>214</v>
      </c>
      <c r="B215" t="s">
        <v>262</v>
      </c>
      <c r="C215">
        <v>0</v>
      </c>
      <c r="H215" t="s">
        <v>262</v>
      </c>
      <c r="I215" t="s">
        <v>158</v>
      </c>
      <c r="Q215" t="s">
        <v>262</v>
      </c>
      <c r="R215">
        <v>45.420186080000001</v>
      </c>
      <c r="S215">
        <v>2</v>
      </c>
      <c r="T215">
        <v>130</v>
      </c>
      <c r="V215">
        <v>0</v>
      </c>
      <c r="W215">
        <v>0</v>
      </c>
      <c r="X215" t="s">
        <v>262</v>
      </c>
      <c r="Y215">
        <v>-1</v>
      </c>
      <c r="Z215">
        <v>2</v>
      </c>
      <c r="AA215">
        <v>45.42</v>
      </c>
      <c r="AB215">
        <v>130</v>
      </c>
      <c r="AC215">
        <v>1.32</v>
      </c>
      <c r="AD215">
        <v>0.13</v>
      </c>
      <c r="AE215">
        <v>0</v>
      </c>
      <c r="AF215">
        <v>7.0000000000000007E-2</v>
      </c>
      <c r="AG215">
        <v>1</v>
      </c>
      <c r="AH215">
        <v>1.32</v>
      </c>
      <c r="AI215">
        <v>1.32</v>
      </c>
      <c r="AJ215">
        <v>1.32</v>
      </c>
      <c r="AK215">
        <v>0.13</v>
      </c>
      <c r="AL215">
        <v>0.13</v>
      </c>
      <c r="AM215">
        <v>0.13</v>
      </c>
      <c r="AN215">
        <v>0</v>
      </c>
      <c r="AO215">
        <v>0</v>
      </c>
      <c r="AP215">
        <v>0</v>
      </c>
      <c r="AQ215">
        <v>45.420186080000001</v>
      </c>
      <c r="AR215">
        <v>0</v>
      </c>
      <c r="AS215">
        <v>214</v>
      </c>
      <c r="AT215">
        <v>1</v>
      </c>
      <c r="AU215">
        <v>214</v>
      </c>
      <c r="AV215">
        <v>2</v>
      </c>
      <c r="AW215" t="s">
        <v>852</v>
      </c>
      <c r="AX215" t="s">
        <v>158</v>
      </c>
      <c r="AY215" t="s">
        <v>501</v>
      </c>
      <c r="AZ215">
        <v>1001</v>
      </c>
      <c r="BA215" t="s">
        <v>524</v>
      </c>
      <c r="BB215">
        <v>1042</v>
      </c>
      <c r="BC215" t="s">
        <v>853</v>
      </c>
      <c r="BD215">
        <v>1950</v>
      </c>
      <c r="BE215">
        <v>0</v>
      </c>
      <c r="BF215">
        <v>45.420371809999999</v>
      </c>
    </row>
    <row r="216" spans="1:58" x14ac:dyDescent="0.2">
      <c r="A216">
        <v>215</v>
      </c>
      <c r="B216" t="s">
        <v>263</v>
      </c>
      <c r="C216">
        <v>0</v>
      </c>
      <c r="H216" t="s">
        <v>263</v>
      </c>
      <c r="I216" t="s">
        <v>158</v>
      </c>
      <c r="Q216" t="s">
        <v>263</v>
      </c>
      <c r="R216">
        <v>43.31717166</v>
      </c>
      <c r="S216">
        <v>6</v>
      </c>
      <c r="T216">
        <v>130</v>
      </c>
      <c r="V216">
        <v>0</v>
      </c>
      <c r="W216">
        <v>0</v>
      </c>
      <c r="X216" t="s">
        <v>263</v>
      </c>
      <c r="Y216">
        <v>-1</v>
      </c>
      <c r="Z216">
        <v>6</v>
      </c>
      <c r="AA216">
        <v>43.32</v>
      </c>
      <c r="AB216">
        <v>130</v>
      </c>
      <c r="AC216">
        <v>6.52</v>
      </c>
      <c r="AD216">
        <v>7.0000000000000007E-2</v>
      </c>
      <c r="AE216">
        <v>0</v>
      </c>
      <c r="AF216">
        <v>0.01</v>
      </c>
      <c r="AG216">
        <v>1</v>
      </c>
      <c r="AH216">
        <v>6.52</v>
      </c>
      <c r="AI216">
        <v>6.52</v>
      </c>
      <c r="AJ216">
        <v>6.52</v>
      </c>
      <c r="AK216">
        <v>7.0000000000000007E-2</v>
      </c>
      <c r="AL216">
        <v>7.0000000000000007E-2</v>
      </c>
      <c r="AM216">
        <v>7.0000000000000007E-2</v>
      </c>
      <c r="AN216">
        <v>0</v>
      </c>
      <c r="AO216">
        <v>0</v>
      </c>
      <c r="AP216">
        <v>0</v>
      </c>
      <c r="AQ216">
        <v>43.31717166</v>
      </c>
      <c r="AR216">
        <v>0</v>
      </c>
      <c r="AS216">
        <v>215</v>
      </c>
      <c r="AT216">
        <v>1</v>
      </c>
      <c r="AU216">
        <v>215</v>
      </c>
      <c r="AV216">
        <v>2</v>
      </c>
      <c r="AW216" t="s">
        <v>852</v>
      </c>
      <c r="AX216" t="s">
        <v>158</v>
      </c>
      <c r="AY216" t="s">
        <v>501</v>
      </c>
      <c r="AZ216">
        <v>1001</v>
      </c>
      <c r="BA216" t="s">
        <v>524</v>
      </c>
      <c r="BB216">
        <v>1042</v>
      </c>
      <c r="BC216" t="s">
        <v>853</v>
      </c>
      <c r="BD216">
        <v>1950</v>
      </c>
      <c r="BE216">
        <v>0</v>
      </c>
      <c r="BF216">
        <v>45.420371809999999</v>
      </c>
    </row>
    <row r="217" spans="1:58" x14ac:dyDescent="0.2">
      <c r="A217">
        <v>216</v>
      </c>
      <c r="B217" t="s">
        <v>264</v>
      </c>
      <c r="C217">
        <v>0</v>
      </c>
      <c r="H217" t="s">
        <v>264</v>
      </c>
      <c r="I217" t="s">
        <v>158</v>
      </c>
      <c r="Q217" t="s">
        <v>264</v>
      </c>
      <c r="R217">
        <v>304.45778230000002</v>
      </c>
      <c r="S217">
        <v>6</v>
      </c>
      <c r="T217">
        <v>130</v>
      </c>
      <c r="V217">
        <v>0</v>
      </c>
      <c r="W217">
        <v>0</v>
      </c>
      <c r="X217" t="s">
        <v>264</v>
      </c>
      <c r="Y217">
        <v>-1</v>
      </c>
      <c r="Z217">
        <v>6</v>
      </c>
      <c r="AA217">
        <v>304.45999999999998</v>
      </c>
      <c r="AB217">
        <v>130</v>
      </c>
      <c r="AC217">
        <v>6.52</v>
      </c>
      <c r="AD217">
        <v>7.0000000000000007E-2</v>
      </c>
      <c r="AE217">
        <v>0</v>
      </c>
      <c r="AF217">
        <v>0.01</v>
      </c>
      <c r="AG217">
        <v>1</v>
      </c>
      <c r="AH217">
        <v>6.52</v>
      </c>
      <c r="AI217">
        <v>6.52</v>
      </c>
      <c r="AJ217">
        <v>6.52</v>
      </c>
      <c r="AK217">
        <v>7.0000000000000007E-2</v>
      </c>
      <c r="AL217">
        <v>7.0000000000000007E-2</v>
      </c>
      <c r="AM217">
        <v>7.0000000000000007E-2</v>
      </c>
      <c r="AN217">
        <v>0</v>
      </c>
      <c r="AO217">
        <v>0</v>
      </c>
      <c r="AP217">
        <v>0</v>
      </c>
      <c r="AQ217">
        <v>304.45778230000002</v>
      </c>
      <c r="AR217">
        <v>0</v>
      </c>
      <c r="AS217">
        <v>216</v>
      </c>
      <c r="AT217">
        <v>1</v>
      </c>
      <c r="AU217">
        <v>216</v>
      </c>
      <c r="AV217">
        <v>6</v>
      </c>
      <c r="AW217" t="s">
        <v>854</v>
      </c>
      <c r="AX217" t="s">
        <v>158</v>
      </c>
      <c r="AY217" t="s">
        <v>501</v>
      </c>
      <c r="AZ217">
        <v>1042</v>
      </c>
      <c r="BA217" t="s">
        <v>853</v>
      </c>
      <c r="BB217">
        <v>1205</v>
      </c>
      <c r="BC217" t="s">
        <v>762</v>
      </c>
      <c r="BD217">
        <v>1950</v>
      </c>
      <c r="BE217">
        <v>0</v>
      </c>
      <c r="BF217">
        <v>347.77480989999998</v>
      </c>
    </row>
    <row r="218" spans="1:58" x14ac:dyDescent="0.2">
      <c r="A218">
        <v>217</v>
      </c>
      <c r="B218" t="s">
        <v>265</v>
      </c>
      <c r="C218">
        <v>0</v>
      </c>
      <c r="H218" t="s">
        <v>265</v>
      </c>
      <c r="I218" t="s">
        <v>158</v>
      </c>
      <c r="Q218" t="s">
        <v>265</v>
      </c>
      <c r="R218">
        <v>230.95738420000001</v>
      </c>
      <c r="S218">
        <v>8</v>
      </c>
      <c r="T218">
        <v>130</v>
      </c>
      <c r="V218">
        <v>0</v>
      </c>
      <c r="W218">
        <v>0</v>
      </c>
      <c r="X218" t="s">
        <v>265</v>
      </c>
      <c r="Y218">
        <v>-1</v>
      </c>
      <c r="Z218">
        <v>8</v>
      </c>
      <c r="AA218">
        <v>230.96</v>
      </c>
      <c r="AB218">
        <v>130</v>
      </c>
      <c r="AC218">
        <v>7.91</v>
      </c>
      <c r="AD218">
        <v>0.05</v>
      </c>
      <c r="AE218">
        <v>0</v>
      </c>
      <c r="AF218">
        <v>0</v>
      </c>
      <c r="AG218">
        <v>1</v>
      </c>
      <c r="AH218">
        <v>7.91</v>
      </c>
      <c r="AI218">
        <v>7.91</v>
      </c>
      <c r="AJ218">
        <v>7.91</v>
      </c>
      <c r="AK218">
        <v>0.05</v>
      </c>
      <c r="AL218">
        <v>0.05</v>
      </c>
      <c r="AM218">
        <v>0.05</v>
      </c>
      <c r="AN218">
        <v>0</v>
      </c>
      <c r="AO218">
        <v>0</v>
      </c>
      <c r="AP218">
        <v>0</v>
      </c>
      <c r="AQ218">
        <v>230.95738420000001</v>
      </c>
      <c r="AR218">
        <v>0</v>
      </c>
      <c r="AS218">
        <v>217</v>
      </c>
      <c r="AT218">
        <v>1</v>
      </c>
      <c r="AU218">
        <v>217</v>
      </c>
      <c r="AV218">
        <v>8</v>
      </c>
      <c r="AW218" t="s">
        <v>855</v>
      </c>
      <c r="AX218" t="s">
        <v>158</v>
      </c>
      <c r="AY218" t="s">
        <v>501</v>
      </c>
      <c r="AZ218">
        <v>1205</v>
      </c>
      <c r="BA218" t="s">
        <v>762</v>
      </c>
      <c r="BB218">
        <v>1680</v>
      </c>
      <c r="BC218" t="s">
        <v>526</v>
      </c>
      <c r="BD218">
        <v>1950</v>
      </c>
      <c r="BE218">
        <v>0</v>
      </c>
      <c r="BF218">
        <v>230.95714190000001</v>
      </c>
    </row>
    <row r="219" spans="1:58" x14ac:dyDescent="0.2">
      <c r="A219">
        <v>218</v>
      </c>
      <c r="B219" t="s">
        <v>266</v>
      </c>
      <c r="C219">
        <v>0</v>
      </c>
      <c r="H219" t="s">
        <v>266</v>
      </c>
      <c r="I219" t="s">
        <v>158</v>
      </c>
      <c r="Q219" t="s">
        <v>266</v>
      </c>
      <c r="R219">
        <v>549.34847079999997</v>
      </c>
      <c r="S219">
        <v>8</v>
      </c>
      <c r="T219">
        <v>130</v>
      </c>
      <c r="V219">
        <v>0</v>
      </c>
      <c r="W219">
        <v>0</v>
      </c>
      <c r="X219" t="s">
        <v>266</v>
      </c>
      <c r="Y219">
        <v>-1</v>
      </c>
      <c r="Z219">
        <v>8</v>
      </c>
      <c r="AA219">
        <v>549.35</v>
      </c>
      <c r="AB219">
        <v>130</v>
      </c>
      <c r="AC219">
        <v>7.91</v>
      </c>
      <c r="AD219">
        <v>0.05</v>
      </c>
      <c r="AE219">
        <v>0</v>
      </c>
      <c r="AF219">
        <v>0</v>
      </c>
      <c r="AG219">
        <v>1</v>
      </c>
      <c r="AH219">
        <v>7.91</v>
      </c>
      <c r="AI219">
        <v>7.91</v>
      </c>
      <c r="AJ219">
        <v>7.91</v>
      </c>
      <c r="AK219">
        <v>0.05</v>
      </c>
      <c r="AL219">
        <v>0.05</v>
      </c>
      <c r="AM219">
        <v>0.05</v>
      </c>
      <c r="AN219">
        <v>0</v>
      </c>
      <c r="AO219">
        <v>0</v>
      </c>
      <c r="AP219">
        <v>0</v>
      </c>
      <c r="AQ219">
        <v>549.34847079999997</v>
      </c>
      <c r="AR219">
        <v>0</v>
      </c>
      <c r="AS219">
        <v>218</v>
      </c>
      <c r="AT219">
        <v>1</v>
      </c>
      <c r="AU219">
        <v>218</v>
      </c>
      <c r="AV219">
        <v>6</v>
      </c>
      <c r="AW219" t="s">
        <v>856</v>
      </c>
      <c r="AX219" t="s">
        <v>45</v>
      </c>
      <c r="AY219" t="s">
        <v>501</v>
      </c>
      <c r="AZ219">
        <v>1513</v>
      </c>
      <c r="BA219" t="s">
        <v>857</v>
      </c>
      <c r="BB219">
        <v>1680</v>
      </c>
      <c r="BC219" t="s">
        <v>526</v>
      </c>
      <c r="BD219">
        <v>1950</v>
      </c>
      <c r="BE219">
        <v>0</v>
      </c>
      <c r="BF219">
        <v>297.07227499999999</v>
      </c>
    </row>
    <row r="220" spans="1:58" x14ac:dyDescent="0.2">
      <c r="A220">
        <v>219</v>
      </c>
      <c r="B220" t="s">
        <v>267</v>
      </c>
      <c r="C220">
        <v>0</v>
      </c>
      <c r="H220" t="s">
        <v>267</v>
      </c>
      <c r="I220" t="s">
        <v>158</v>
      </c>
      <c r="Q220" t="s">
        <v>267</v>
      </c>
      <c r="R220">
        <v>234.29801040000001</v>
      </c>
      <c r="S220">
        <v>8</v>
      </c>
      <c r="T220">
        <v>130</v>
      </c>
      <c r="V220">
        <v>0</v>
      </c>
      <c r="W220">
        <v>0</v>
      </c>
      <c r="X220" t="s">
        <v>267</v>
      </c>
      <c r="Y220">
        <v>-1</v>
      </c>
      <c r="Z220">
        <v>8</v>
      </c>
      <c r="AA220">
        <v>234.3</v>
      </c>
      <c r="AB220">
        <v>130</v>
      </c>
      <c r="AC220">
        <v>8.32</v>
      </c>
      <c r="AD220">
        <v>0.05</v>
      </c>
      <c r="AE220">
        <v>0</v>
      </c>
      <c r="AF220">
        <v>0</v>
      </c>
      <c r="AG220">
        <v>1</v>
      </c>
      <c r="AH220">
        <v>8.32</v>
      </c>
      <c r="AI220">
        <v>8.32</v>
      </c>
      <c r="AJ220">
        <v>8.32</v>
      </c>
      <c r="AK220">
        <v>0.05</v>
      </c>
      <c r="AL220">
        <v>0.05</v>
      </c>
      <c r="AM220">
        <v>0.05</v>
      </c>
      <c r="AN220">
        <v>0</v>
      </c>
      <c r="AO220">
        <v>0</v>
      </c>
      <c r="AP220">
        <v>0</v>
      </c>
      <c r="AQ220">
        <v>234.29801040000001</v>
      </c>
      <c r="AR220">
        <v>0</v>
      </c>
      <c r="AS220">
        <v>219</v>
      </c>
      <c r="AT220">
        <v>1</v>
      </c>
      <c r="AU220">
        <v>219</v>
      </c>
      <c r="AV220">
        <v>8</v>
      </c>
      <c r="AW220" t="s">
        <v>525</v>
      </c>
      <c r="AX220" t="s">
        <v>158</v>
      </c>
      <c r="AY220" t="s">
        <v>501</v>
      </c>
      <c r="AZ220">
        <v>1680</v>
      </c>
      <c r="BA220" t="s">
        <v>526</v>
      </c>
      <c r="BB220">
        <v>866</v>
      </c>
      <c r="BC220" t="s">
        <v>527</v>
      </c>
      <c r="BD220">
        <v>1950</v>
      </c>
      <c r="BE220">
        <v>0</v>
      </c>
      <c r="BF220">
        <v>549.34872700000005</v>
      </c>
    </row>
    <row r="221" spans="1:58" x14ac:dyDescent="0.2">
      <c r="A221">
        <v>220</v>
      </c>
      <c r="B221" t="s">
        <v>268</v>
      </c>
      <c r="C221">
        <v>0</v>
      </c>
      <c r="H221" t="s">
        <v>268</v>
      </c>
      <c r="I221" t="s">
        <v>158</v>
      </c>
      <c r="Q221" t="s">
        <v>268</v>
      </c>
      <c r="R221">
        <v>28.828413650000002</v>
      </c>
      <c r="S221">
        <v>8</v>
      </c>
      <c r="T221">
        <v>130</v>
      </c>
      <c r="V221">
        <v>0</v>
      </c>
      <c r="W221">
        <v>0</v>
      </c>
      <c r="X221" t="s">
        <v>268</v>
      </c>
      <c r="Y221">
        <v>-1</v>
      </c>
      <c r="Z221">
        <v>8</v>
      </c>
      <c r="AA221">
        <v>28.83</v>
      </c>
      <c r="AB221">
        <v>130</v>
      </c>
      <c r="AC221">
        <v>8.32</v>
      </c>
      <c r="AD221">
        <v>0.05</v>
      </c>
      <c r="AE221">
        <v>0</v>
      </c>
      <c r="AF221">
        <v>0</v>
      </c>
      <c r="AG221">
        <v>1</v>
      </c>
      <c r="AH221">
        <v>8.32</v>
      </c>
      <c r="AI221">
        <v>8.32</v>
      </c>
      <c r="AJ221">
        <v>8.32</v>
      </c>
      <c r="AK221">
        <v>0.05</v>
      </c>
      <c r="AL221">
        <v>0.05</v>
      </c>
      <c r="AM221">
        <v>0.05</v>
      </c>
      <c r="AN221">
        <v>0</v>
      </c>
      <c r="AO221">
        <v>0</v>
      </c>
      <c r="AP221">
        <v>0</v>
      </c>
      <c r="AQ221">
        <v>28.828413650000002</v>
      </c>
      <c r="AR221">
        <v>0</v>
      </c>
      <c r="AS221">
        <v>220</v>
      </c>
      <c r="AT221">
        <v>1</v>
      </c>
      <c r="AU221">
        <v>220</v>
      </c>
      <c r="AV221">
        <v>6</v>
      </c>
      <c r="AW221" t="s">
        <v>776</v>
      </c>
      <c r="AX221" t="s">
        <v>158</v>
      </c>
      <c r="AY221" t="s">
        <v>501</v>
      </c>
      <c r="AZ221">
        <v>873</v>
      </c>
      <c r="BA221" t="s">
        <v>772</v>
      </c>
      <c r="BB221">
        <v>867</v>
      </c>
      <c r="BC221" t="s">
        <v>777</v>
      </c>
      <c r="BD221">
        <v>1950</v>
      </c>
      <c r="BE221">
        <v>0</v>
      </c>
      <c r="BF221">
        <v>13.593306350000001</v>
      </c>
    </row>
    <row r="222" spans="1:58" x14ac:dyDescent="0.2">
      <c r="A222">
        <v>221</v>
      </c>
      <c r="B222" t="s">
        <v>269</v>
      </c>
      <c r="C222">
        <v>0</v>
      </c>
      <c r="H222" t="s">
        <v>269</v>
      </c>
      <c r="I222" t="s">
        <v>158</v>
      </c>
      <c r="Q222" t="s">
        <v>269</v>
      </c>
      <c r="R222">
        <v>35.652243810000002</v>
      </c>
      <c r="S222">
        <v>6</v>
      </c>
      <c r="T222">
        <v>130</v>
      </c>
      <c r="V222">
        <v>0</v>
      </c>
      <c r="W222">
        <v>0</v>
      </c>
      <c r="X222" t="s">
        <v>269</v>
      </c>
      <c r="Y222">
        <v>1</v>
      </c>
      <c r="Z222">
        <v>6</v>
      </c>
      <c r="AA222">
        <v>35.65</v>
      </c>
      <c r="AB222">
        <v>130</v>
      </c>
      <c r="AC222">
        <v>0.56000000000000005</v>
      </c>
      <c r="AD222">
        <v>0.01</v>
      </c>
      <c r="AE222">
        <v>0</v>
      </c>
      <c r="AF222">
        <v>0</v>
      </c>
      <c r="AG222">
        <v>1</v>
      </c>
      <c r="AH222">
        <v>0.56000000000000005</v>
      </c>
      <c r="AI222">
        <v>0.56000000000000005</v>
      </c>
      <c r="AJ222">
        <v>0.56000000000000005</v>
      </c>
      <c r="AK222">
        <v>0.01</v>
      </c>
      <c r="AL222">
        <v>0.01</v>
      </c>
      <c r="AM222">
        <v>0.01</v>
      </c>
      <c r="AN222">
        <v>0</v>
      </c>
      <c r="AO222">
        <v>0</v>
      </c>
      <c r="AP222">
        <v>0</v>
      </c>
      <c r="AQ222">
        <v>35.652243810000002</v>
      </c>
      <c r="AR222">
        <v>0</v>
      </c>
      <c r="AS222">
        <v>221</v>
      </c>
      <c r="AT222">
        <v>1</v>
      </c>
      <c r="AU222">
        <v>221</v>
      </c>
      <c r="AV222">
        <v>6</v>
      </c>
      <c r="AW222" t="s">
        <v>786</v>
      </c>
      <c r="AX222" t="s">
        <v>158</v>
      </c>
      <c r="AY222" t="s">
        <v>501</v>
      </c>
      <c r="AZ222">
        <v>1005</v>
      </c>
      <c r="BA222" t="s">
        <v>785</v>
      </c>
      <c r="BB222">
        <v>977</v>
      </c>
      <c r="BC222" t="s">
        <v>575</v>
      </c>
      <c r="BD222">
        <v>1950</v>
      </c>
      <c r="BE222">
        <v>0</v>
      </c>
      <c r="BF222">
        <v>518.12153439999997</v>
      </c>
    </row>
    <row r="223" spans="1:58" x14ac:dyDescent="0.2">
      <c r="A223">
        <v>222</v>
      </c>
      <c r="B223" t="s">
        <v>270</v>
      </c>
      <c r="C223">
        <v>0</v>
      </c>
      <c r="H223" t="s">
        <v>270</v>
      </c>
      <c r="I223" t="s">
        <v>158</v>
      </c>
      <c r="Q223" t="s">
        <v>270</v>
      </c>
      <c r="R223">
        <v>800.79734840000003</v>
      </c>
      <c r="S223">
        <v>6</v>
      </c>
      <c r="T223">
        <v>130</v>
      </c>
      <c r="V223">
        <v>0</v>
      </c>
      <c r="W223">
        <v>0</v>
      </c>
      <c r="X223" t="s">
        <v>270</v>
      </c>
      <c r="Y223">
        <v>1</v>
      </c>
      <c r="Z223">
        <v>6</v>
      </c>
      <c r="AA223">
        <v>800.8</v>
      </c>
      <c r="AB223">
        <v>130</v>
      </c>
      <c r="AC223">
        <v>0.56000000000000005</v>
      </c>
      <c r="AD223">
        <v>0.01</v>
      </c>
      <c r="AE223">
        <v>0</v>
      </c>
      <c r="AF223">
        <v>0</v>
      </c>
      <c r="AG223">
        <v>1</v>
      </c>
      <c r="AH223">
        <v>0.56000000000000005</v>
      </c>
      <c r="AI223">
        <v>0.56000000000000005</v>
      </c>
      <c r="AJ223">
        <v>0.56000000000000005</v>
      </c>
      <c r="AK223">
        <v>0.01</v>
      </c>
      <c r="AL223">
        <v>0.01</v>
      </c>
      <c r="AM223">
        <v>0.01</v>
      </c>
      <c r="AN223">
        <v>0</v>
      </c>
      <c r="AO223">
        <v>0</v>
      </c>
      <c r="AP223">
        <v>0</v>
      </c>
      <c r="AQ223">
        <v>800.79734840000003</v>
      </c>
      <c r="AR223">
        <v>0</v>
      </c>
      <c r="AS223">
        <v>222</v>
      </c>
      <c r="AT223">
        <v>1</v>
      </c>
      <c r="AU223">
        <v>222</v>
      </c>
      <c r="AV223">
        <v>6</v>
      </c>
      <c r="AW223" t="s">
        <v>858</v>
      </c>
      <c r="AX223" t="s">
        <v>158</v>
      </c>
      <c r="AY223" t="s">
        <v>501</v>
      </c>
      <c r="AZ223">
        <v>977</v>
      </c>
      <c r="BA223" t="s">
        <v>575</v>
      </c>
      <c r="BB223">
        <v>978</v>
      </c>
      <c r="BC223" t="s">
        <v>572</v>
      </c>
      <c r="BD223">
        <v>1950</v>
      </c>
      <c r="BE223">
        <v>0</v>
      </c>
      <c r="BF223">
        <v>836.44975939999995</v>
      </c>
    </row>
    <row r="224" spans="1:58" x14ac:dyDescent="0.2">
      <c r="A224">
        <v>223</v>
      </c>
      <c r="B224" t="s">
        <v>271</v>
      </c>
      <c r="C224">
        <v>0</v>
      </c>
      <c r="H224" t="s">
        <v>271</v>
      </c>
      <c r="I224" t="s">
        <v>158</v>
      </c>
      <c r="Q224" t="s">
        <v>271</v>
      </c>
      <c r="R224">
        <v>21.720769740000001</v>
      </c>
      <c r="S224">
        <v>6</v>
      </c>
      <c r="T224">
        <v>130</v>
      </c>
      <c r="V224">
        <v>0</v>
      </c>
      <c r="W224">
        <v>0</v>
      </c>
      <c r="X224" t="s">
        <v>271</v>
      </c>
      <c r="Y224">
        <v>-1</v>
      </c>
      <c r="Z224">
        <v>6</v>
      </c>
      <c r="AA224">
        <v>21.72</v>
      </c>
      <c r="AB224">
        <v>130</v>
      </c>
      <c r="AC224">
        <v>35.44</v>
      </c>
      <c r="AD224">
        <v>0.4</v>
      </c>
      <c r="AE224">
        <v>0</v>
      </c>
      <c r="AF224">
        <v>0.15</v>
      </c>
      <c r="AG224">
        <v>1</v>
      </c>
      <c r="AH224">
        <v>35.44</v>
      </c>
      <c r="AI224">
        <v>35.44</v>
      </c>
      <c r="AJ224">
        <v>35.44</v>
      </c>
      <c r="AK224">
        <v>0.4</v>
      </c>
      <c r="AL224">
        <v>0.4</v>
      </c>
      <c r="AM224">
        <v>0.4</v>
      </c>
      <c r="AN224">
        <v>0</v>
      </c>
      <c r="AO224">
        <v>0</v>
      </c>
      <c r="AP224">
        <v>0</v>
      </c>
      <c r="AQ224">
        <v>21.720769740000001</v>
      </c>
      <c r="AR224">
        <v>0</v>
      </c>
      <c r="AS224">
        <v>223</v>
      </c>
      <c r="AT224">
        <v>1</v>
      </c>
      <c r="AU224">
        <v>223</v>
      </c>
      <c r="AV224">
        <v>8</v>
      </c>
      <c r="AW224" t="s">
        <v>797</v>
      </c>
      <c r="AX224" t="s">
        <v>148</v>
      </c>
      <c r="AY224" t="s">
        <v>501</v>
      </c>
      <c r="AZ224">
        <v>1706</v>
      </c>
      <c r="BA224" t="s">
        <v>638</v>
      </c>
      <c r="BB224">
        <v>999</v>
      </c>
      <c r="BC224" t="s">
        <v>798</v>
      </c>
      <c r="BD224">
        <v>1930</v>
      </c>
      <c r="BE224">
        <v>1</v>
      </c>
      <c r="BF224">
        <v>66.475461949999996</v>
      </c>
    </row>
    <row r="225" spans="1:58" x14ac:dyDescent="0.2">
      <c r="A225">
        <v>224</v>
      </c>
      <c r="B225" t="s">
        <v>272</v>
      </c>
      <c r="C225">
        <v>0</v>
      </c>
      <c r="H225" t="s">
        <v>272</v>
      </c>
      <c r="I225" t="s">
        <v>158</v>
      </c>
      <c r="Q225" t="s">
        <v>272</v>
      </c>
      <c r="R225">
        <v>351.30003369999997</v>
      </c>
      <c r="S225">
        <v>6</v>
      </c>
      <c r="T225">
        <v>130</v>
      </c>
      <c r="V225">
        <v>0</v>
      </c>
      <c r="W225">
        <v>0</v>
      </c>
      <c r="X225" t="s">
        <v>272</v>
      </c>
      <c r="Y225">
        <v>-1</v>
      </c>
      <c r="Z225">
        <v>6</v>
      </c>
      <c r="AA225">
        <v>351.3</v>
      </c>
      <c r="AB225">
        <v>130</v>
      </c>
      <c r="AC225">
        <v>35.44</v>
      </c>
      <c r="AD225">
        <v>0.4</v>
      </c>
      <c r="AE225">
        <v>0.05</v>
      </c>
      <c r="AF225">
        <v>0.15</v>
      </c>
      <c r="AG225">
        <v>1</v>
      </c>
      <c r="AH225">
        <v>35.44</v>
      </c>
      <c r="AI225">
        <v>35.44</v>
      </c>
      <c r="AJ225">
        <v>35.44</v>
      </c>
      <c r="AK225">
        <v>0.4</v>
      </c>
      <c r="AL225">
        <v>0.4</v>
      </c>
      <c r="AM225">
        <v>0.4</v>
      </c>
      <c r="AN225">
        <v>0.05</v>
      </c>
      <c r="AO225">
        <v>0.05</v>
      </c>
      <c r="AP225">
        <v>0.05</v>
      </c>
      <c r="AQ225">
        <v>351.30003369999997</v>
      </c>
      <c r="AR225">
        <v>0</v>
      </c>
      <c r="AS225">
        <v>224</v>
      </c>
      <c r="AT225">
        <v>1</v>
      </c>
      <c r="AU225">
        <v>224</v>
      </c>
      <c r="AV225">
        <v>6</v>
      </c>
      <c r="AW225" t="s">
        <v>633</v>
      </c>
      <c r="AX225" t="s">
        <v>45</v>
      </c>
      <c r="AY225" t="s">
        <v>501</v>
      </c>
      <c r="AZ225">
        <v>1550</v>
      </c>
      <c r="BA225" t="s">
        <v>634</v>
      </c>
      <c r="BB225">
        <v>885</v>
      </c>
      <c r="BC225" t="s">
        <v>635</v>
      </c>
      <c r="BD225">
        <v>1930</v>
      </c>
      <c r="BE225">
        <v>0</v>
      </c>
      <c r="BF225">
        <v>0.83536228999999995</v>
      </c>
    </row>
    <row r="226" spans="1:58" x14ac:dyDescent="0.2">
      <c r="A226">
        <v>225</v>
      </c>
      <c r="B226" t="s">
        <v>273</v>
      </c>
      <c r="C226">
        <v>0</v>
      </c>
      <c r="H226" t="s">
        <v>273</v>
      </c>
      <c r="I226" t="s">
        <v>158</v>
      </c>
      <c r="Q226" t="s">
        <v>273</v>
      </c>
      <c r="R226">
        <v>140.23393709999999</v>
      </c>
      <c r="S226">
        <v>6</v>
      </c>
      <c r="T226">
        <v>130</v>
      </c>
      <c r="V226">
        <v>0</v>
      </c>
      <c r="W226">
        <v>0</v>
      </c>
      <c r="X226" t="s">
        <v>273</v>
      </c>
      <c r="Y226">
        <v>-1</v>
      </c>
      <c r="Z226">
        <v>6</v>
      </c>
      <c r="AA226">
        <v>140.22999999999999</v>
      </c>
      <c r="AB226">
        <v>130</v>
      </c>
      <c r="AC226">
        <v>35.44</v>
      </c>
      <c r="AD226">
        <v>0.4</v>
      </c>
      <c r="AE226">
        <v>0.02</v>
      </c>
      <c r="AF226">
        <v>0.15</v>
      </c>
      <c r="AG226">
        <v>1</v>
      </c>
      <c r="AH226">
        <v>35.44</v>
      </c>
      <c r="AI226">
        <v>35.44</v>
      </c>
      <c r="AJ226">
        <v>35.44</v>
      </c>
      <c r="AK226">
        <v>0.4</v>
      </c>
      <c r="AL226">
        <v>0.4</v>
      </c>
      <c r="AM226">
        <v>0.4</v>
      </c>
      <c r="AN226">
        <v>0.02</v>
      </c>
      <c r="AO226">
        <v>0.02</v>
      </c>
      <c r="AP226">
        <v>0.02</v>
      </c>
      <c r="AQ226">
        <v>140.23393709999999</v>
      </c>
      <c r="AR226">
        <v>0</v>
      </c>
      <c r="AS226">
        <v>225</v>
      </c>
      <c r="AT226">
        <v>1</v>
      </c>
      <c r="AU226">
        <v>225</v>
      </c>
      <c r="AV226">
        <v>6</v>
      </c>
      <c r="AW226" t="s">
        <v>859</v>
      </c>
      <c r="AX226" t="s">
        <v>158</v>
      </c>
      <c r="AY226" t="s">
        <v>501</v>
      </c>
      <c r="AZ226">
        <v>885</v>
      </c>
      <c r="BA226" t="s">
        <v>635</v>
      </c>
      <c r="BB226">
        <v>1027</v>
      </c>
      <c r="BC226" t="s">
        <v>860</v>
      </c>
      <c r="BD226">
        <v>1950</v>
      </c>
      <c r="BE226">
        <v>1</v>
      </c>
      <c r="BF226">
        <v>140.2342525</v>
      </c>
    </row>
    <row r="227" spans="1:58" x14ac:dyDescent="0.2">
      <c r="A227">
        <v>226</v>
      </c>
      <c r="B227" t="s">
        <v>274</v>
      </c>
      <c r="C227">
        <v>0</v>
      </c>
      <c r="H227" t="s">
        <v>274</v>
      </c>
      <c r="I227" t="s">
        <v>158</v>
      </c>
      <c r="Q227" t="s">
        <v>274</v>
      </c>
      <c r="R227">
        <v>268.68095959999999</v>
      </c>
      <c r="S227">
        <v>6</v>
      </c>
      <c r="T227">
        <v>130</v>
      </c>
      <c r="V227">
        <v>0</v>
      </c>
      <c r="W227">
        <v>0</v>
      </c>
      <c r="X227" t="s">
        <v>274</v>
      </c>
      <c r="Y227">
        <v>-1</v>
      </c>
      <c r="Z227">
        <v>6</v>
      </c>
      <c r="AA227">
        <v>268.68</v>
      </c>
      <c r="AB227">
        <v>130</v>
      </c>
      <c r="AC227">
        <v>35.44</v>
      </c>
      <c r="AD227">
        <v>0.4</v>
      </c>
      <c r="AE227">
        <v>0.04</v>
      </c>
      <c r="AF227">
        <v>0.15</v>
      </c>
      <c r="AG227">
        <v>1</v>
      </c>
      <c r="AH227">
        <v>35.44</v>
      </c>
      <c r="AI227">
        <v>35.44</v>
      </c>
      <c r="AJ227">
        <v>35.44</v>
      </c>
      <c r="AK227">
        <v>0.4</v>
      </c>
      <c r="AL227">
        <v>0.4</v>
      </c>
      <c r="AM227">
        <v>0.4</v>
      </c>
      <c r="AN227">
        <v>0.04</v>
      </c>
      <c r="AO227">
        <v>0.04</v>
      </c>
      <c r="AP227">
        <v>0.04</v>
      </c>
      <c r="AQ227">
        <v>268.68095959999999</v>
      </c>
      <c r="AR227">
        <v>0</v>
      </c>
      <c r="AS227">
        <v>226</v>
      </c>
      <c r="AT227">
        <v>1</v>
      </c>
      <c r="AU227">
        <v>226</v>
      </c>
      <c r="AV227">
        <v>6</v>
      </c>
      <c r="AW227" t="s">
        <v>861</v>
      </c>
      <c r="AX227" t="s">
        <v>158</v>
      </c>
      <c r="AY227" t="s">
        <v>501</v>
      </c>
      <c r="AZ227">
        <v>1027</v>
      </c>
      <c r="BA227" t="s">
        <v>860</v>
      </c>
      <c r="BB227">
        <v>1705</v>
      </c>
      <c r="BC227" t="s">
        <v>632</v>
      </c>
      <c r="BD227">
        <v>1950</v>
      </c>
      <c r="BE227">
        <v>1</v>
      </c>
      <c r="BF227">
        <v>268.68096539999999</v>
      </c>
    </row>
    <row r="228" spans="1:58" x14ac:dyDescent="0.2">
      <c r="A228">
        <v>227</v>
      </c>
      <c r="B228" t="s">
        <v>275</v>
      </c>
      <c r="C228">
        <v>0</v>
      </c>
      <c r="H228" t="s">
        <v>275</v>
      </c>
      <c r="I228" t="s">
        <v>158</v>
      </c>
      <c r="Q228" t="s">
        <v>275</v>
      </c>
      <c r="R228">
        <v>328.90214170000002</v>
      </c>
      <c r="S228">
        <v>6</v>
      </c>
      <c r="T228">
        <v>130</v>
      </c>
      <c r="V228">
        <v>0</v>
      </c>
      <c r="W228">
        <v>0</v>
      </c>
      <c r="X228" t="s">
        <v>275</v>
      </c>
      <c r="Y228">
        <v>-1</v>
      </c>
      <c r="Z228">
        <v>6</v>
      </c>
      <c r="AA228">
        <v>328.9</v>
      </c>
      <c r="AB228">
        <v>130</v>
      </c>
      <c r="AC228">
        <v>35.58</v>
      </c>
      <c r="AD228">
        <v>0.4</v>
      </c>
      <c r="AE228">
        <v>0.05</v>
      </c>
      <c r="AF228">
        <v>0.15</v>
      </c>
      <c r="AG228">
        <v>1</v>
      </c>
      <c r="AH228">
        <v>35.58</v>
      </c>
      <c r="AI228">
        <v>35.58</v>
      </c>
      <c r="AJ228">
        <v>35.58</v>
      </c>
      <c r="AK228">
        <v>0.4</v>
      </c>
      <c r="AL228">
        <v>0.4</v>
      </c>
      <c r="AM228">
        <v>0.4</v>
      </c>
      <c r="AN228">
        <v>0.05</v>
      </c>
      <c r="AO228">
        <v>0.05</v>
      </c>
      <c r="AP228">
        <v>0.05</v>
      </c>
      <c r="AQ228">
        <v>328.90214170000002</v>
      </c>
      <c r="AR228">
        <v>0</v>
      </c>
      <c r="AS228">
        <v>227</v>
      </c>
      <c r="AT228">
        <v>1</v>
      </c>
      <c r="AU228">
        <v>227</v>
      </c>
      <c r="AV228">
        <v>6</v>
      </c>
      <c r="AW228" t="s">
        <v>862</v>
      </c>
      <c r="AX228" t="s">
        <v>158</v>
      </c>
      <c r="AY228" t="s">
        <v>501</v>
      </c>
      <c r="AZ228">
        <v>1705</v>
      </c>
      <c r="BA228" t="s">
        <v>632</v>
      </c>
      <c r="BB228">
        <v>1029</v>
      </c>
      <c r="BC228" t="s">
        <v>819</v>
      </c>
      <c r="BD228">
        <v>1950</v>
      </c>
      <c r="BE228">
        <v>0</v>
      </c>
      <c r="BF228">
        <v>328.90214229999998</v>
      </c>
    </row>
    <row r="229" spans="1:58" x14ac:dyDescent="0.2">
      <c r="A229">
        <v>228</v>
      </c>
      <c r="B229" t="s">
        <v>276</v>
      </c>
      <c r="C229">
        <v>0</v>
      </c>
      <c r="H229" t="s">
        <v>276</v>
      </c>
      <c r="I229" t="s">
        <v>158</v>
      </c>
      <c r="Q229" t="s">
        <v>276</v>
      </c>
      <c r="R229">
        <v>111.16826500000001</v>
      </c>
      <c r="S229">
        <v>6</v>
      </c>
      <c r="T229">
        <v>130</v>
      </c>
      <c r="V229">
        <v>0</v>
      </c>
      <c r="W229">
        <v>0</v>
      </c>
      <c r="X229" t="s">
        <v>276</v>
      </c>
      <c r="Y229">
        <v>1</v>
      </c>
      <c r="Z229">
        <v>6</v>
      </c>
      <c r="AA229">
        <v>111.17</v>
      </c>
      <c r="AB229">
        <v>130</v>
      </c>
      <c r="AC229">
        <v>36.409999999999997</v>
      </c>
      <c r="AD229">
        <v>0.41</v>
      </c>
      <c r="AE229">
        <v>0.02</v>
      </c>
      <c r="AF229">
        <v>0.16</v>
      </c>
      <c r="AG229">
        <v>1</v>
      </c>
      <c r="AH229">
        <v>36.409999999999997</v>
      </c>
      <c r="AI229">
        <v>36.409999999999997</v>
      </c>
      <c r="AJ229">
        <v>36.409999999999997</v>
      </c>
      <c r="AK229">
        <v>0.41</v>
      </c>
      <c r="AL229">
        <v>0.41</v>
      </c>
      <c r="AM229">
        <v>0.41</v>
      </c>
      <c r="AN229">
        <v>0.02</v>
      </c>
      <c r="AO229">
        <v>0.02</v>
      </c>
      <c r="AP229">
        <v>0.02</v>
      </c>
      <c r="AQ229">
        <v>111.16826500000001</v>
      </c>
      <c r="AR229">
        <v>0</v>
      </c>
      <c r="AS229">
        <v>228</v>
      </c>
      <c r="AT229">
        <v>1</v>
      </c>
      <c r="AU229">
        <v>228</v>
      </c>
      <c r="AV229">
        <v>6</v>
      </c>
      <c r="AW229" t="s">
        <v>863</v>
      </c>
      <c r="AX229" t="s">
        <v>158</v>
      </c>
      <c r="AY229" t="s">
        <v>501</v>
      </c>
      <c r="AZ229">
        <v>1029</v>
      </c>
      <c r="BA229" t="s">
        <v>819</v>
      </c>
      <c r="BB229">
        <v>965</v>
      </c>
      <c r="BC229" t="s">
        <v>864</v>
      </c>
      <c r="BD229">
        <v>1950</v>
      </c>
      <c r="BE229">
        <v>0</v>
      </c>
      <c r="BF229">
        <v>111.1681073</v>
      </c>
    </row>
    <row r="230" spans="1:58" x14ac:dyDescent="0.2">
      <c r="A230">
        <v>229</v>
      </c>
      <c r="B230" t="s">
        <v>277</v>
      </c>
      <c r="C230">
        <v>0</v>
      </c>
      <c r="H230" t="s">
        <v>277</v>
      </c>
      <c r="I230" t="s">
        <v>158</v>
      </c>
      <c r="Q230" t="s">
        <v>277</v>
      </c>
      <c r="R230">
        <v>261.77757880000001</v>
      </c>
      <c r="S230">
        <v>6</v>
      </c>
      <c r="T230">
        <v>130</v>
      </c>
      <c r="V230">
        <v>0</v>
      </c>
      <c r="W230">
        <v>0</v>
      </c>
      <c r="X230" t="s">
        <v>277</v>
      </c>
      <c r="Y230">
        <v>1</v>
      </c>
      <c r="Z230">
        <v>6</v>
      </c>
      <c r="AA230">
        <v>261.77999999999997</v>
      </c>
      <c r="AB230">
        <v>130</v>
      </c>
      <c r="AC230">
        <v>0.97</v>
      </c>
      <c r="AD230">
        <v>0.01</v>
      </c>
      <c r="AE230">
        <v>0</v>
      </c>
      <c r="AF230">
        <v>0</v>
      </c>
      <c r="AG230">
        <v>1</v>
      </c>
      <c r="AH230">
        <v>0.97</v>
      </c>
      <c r="AI230">
        <v>0.97</v>
      </c>
      <c r="AJ230">
        <v>0.97</v>
      </c>
      <c r="AK230">
        <v>0.01</v>
      </c>
      <c r="AL230">
        <v>0.01</v>
      </c>
      <c r="AM230">
        <v>0.01</v>
      </c>
      <c r="AN230">
        <v>0</v>
      </c>
      <c r="AO230">
        <v>0</v>
      </c>
      <c r="AP230">
        <v>0</v>
      </c>
      <c r="AQ230">
        <v>261.77757880000001</v>
      </c>
      <c r="AR230">
        <v>0</v>
      </c>
      <c r="AS230">
        <v>229</v>
      </c>
      <c r="AT230">
        <v>1</v>
      </c>
      <c r="AU230">
        <v>229</v>
      </c>
      <c r="AV230">
        <v>6</v>
      </c>
      <c r="AW230" t="s">
        <v>865</v>
      </c>
      <c r="AX230" t="s">
        <v>158</v>
      </c>
      <c r="AY230" t="s">
        <v>501</v>
      </c>
      <c r="AZ230">
        <v>965</v>
      </c>
      <c r="BA230" t="s">
        <v>864</v>
      </c>
      <c r="BB230">
        <v>1703</v>
      </c>
      <c r="BC230" t="s">
        <v>623</v>
      </c>
      <c r="BD230">
        <v>1950</v>
      </c>
      <c r="BE230">
        <v>0</v>
      </c>
      <c r="BF230">
        <v>261.7777921</v>
      </c>
    </row>
    <row r="231" spans="1:58" x14ac:dyDescent="0.2">
      <c r="A231">
        <v>230</v>
      </c>
      <c r="B231" t="s">
        <v>278</v>
      </c>
      <c r="C231">
        <v>0</v>
      </c>
      <c r="H231" t="s">
        <v>278</v>
      </c>
      <c r="I231" t="s">
        <v>158</v>
      </c>
      <c r="Q231" t="s">
        <v>278</v>
      </c>
      <c r="R231">
        <v>65.319209860000001</v>
      </c>
      <c r="S231">
        <v>6</v>
      </c>
      <c r="T231">
        <v>130</v>
      </c>
      <c r="V231">
        <v>0</v>
      </c>
      <c r="W231">
        <v>0</v>
      </c>
      <c r="X231" t="s">
        <v>278</v>
      </c>
      <c r="Y231">
        <v>1</v>
      </c>
      <c r="Z231">
        <v>6</v>
      </c>
      <c r="AA231">
        <v>65.319999999999993</v>
      </c>
      <c r="AB231">
        <v>130</v>
      </c>
      <c r="AC231">
        <v>0.69</v>
      </c>
      <c r="AD231">
        <v>0.01</v>
      </c>
      <c r="AE231">
        <v>0</v>
      </c>
      <c r="AF231">
        <v>0</v>
      </c>
      <c r="AG231">
        <v>1</v>
      </c>
      <c r="AH231">
        <v>0.69</v>
      </c>
      <c r="AI231">
        <v>0.69</v>
      </c>
      <c r="AJ231">
        <v>0.69</v>
      </c>
      <c r="AK231">
        <v>0.01</v>
      </c>
      <c r="AL231">
        <v>0.01</v>
      </c>
      <c r="AM231">
        <v>0.01</v>
      </c>
      <c r="AN231">
        <v>0</v>
      </c>
      <c r="AO231">
        <v>0</v>
      </c>
      <c r="AP231">
        <v>0</v>
      </c>
      <c r="AQ231">
        <v>65.319209860000001</v>
      </c>
      <c r="AR231">
        <v>0</v>
      </c>
      <c r="AS231">
        <v>230</v>
      </c>
      <c r="AT231">
        <v>1</v>
      </c>
      <c r="AU231">
        <v>230</v>
      </c>
      <c r="AV231">
        <v>6</v>
      </c>
      <c r="AW231" t="s">
        <v>866</v>
      </c>
      <c r="AX231" t="s">
        <v>158</v>
      </c>
      <c r="AY231" t="s">
        <v>501</v>
      </c>
      <c r="AZ231">
        <v>1703</v>
      </c>
      <c r="BA231" t="s">
        <v>623</v>
      </c>
      <c r="BB231">
        <v>1026</v>
      </c>
      <c r="BC231" t="s">
        <v>867</v>
      </c>
      <c r="BD231">
        <v>1950</v>
      </c>
      <c r="BE231">
        <v>0</v>
      </c>
      <c r="BF231">
        <v>584.56040089999999</v>
      </c>
    </row>
    <row r="232" spans="1:58" x14ac:dyDescent="0.2">
      <c r="A232">
        <v>231</v>
      </c>
      <c r="B232" t="s">
        <v>279</v>
      </c>
      <c r="C232">
        <v>0</v>
      </c>
      <c r="H232" t="s">
        <v>279</v>
      </c>
      <c r="I232" t="s">
        <v>158</v>
      </c>
      <c r="Q232" t="s">
        <v>279</v>
      </c>
      <c r="R232">
        <v>519.24146189999999</v>
      </c>
      <c r="S232">
        <v>6</v>
      </c>
      <c r="T232">
        <v>130</v>
      </c>
      <c r="V232">
        <v>0</v>
      </c>
      <c r="W232">
        <v>0</v>
      </c>
      <c r="X232" t="s">
        <v>279</v>
      </c>
      <c r="Y232">
        <v>1</v>
      </c>
      <c r="Z232">
        <v>6</v>
      </c>
      <c r="AA232">
        <v>519.24</v>
      </c>
      <c r="AB232">
        <v>130</v>
      </c>
      <c r="AC232">
        <v>0.69</v>
      </c>
      <c r="AD232">
        <v>0.01</v>
      </c>
      <c r="AE232">
        <v>0</v>
      </c>
      <c r="AF232">
        <v>0</v>
      </c>
      <c r="AG232">
        <v>1</v>
      </c>
      <c r="AH232">
        <v>0.69</v>
      </c>
      <c r="AI232">
        <v>0.69</v>
      </c>
      <c r="AJ232">
        <v>0.69</v>
      </c>
      <c r="AK232">
        <v>0.01</v>
      </c>
      <c r="AL232">
        <v>0.01</v>
      </c>
      <c r="AM232">
        <v>0.01</v>
      </c>
      <c r="AN232">
        <v>0</v>
      </c>
      <c r="AO232">
        <v>0</v>
      </c>
      <c r="AP232">
        <v>0</v>
      </c>
      <c r="AQ232">
        <v>519.24146189999999</v>
      </c>
      <c r="AR232">
        <v>0</v>
      </c>
      <c r="AS232">
        <v>231</v>
      </c>
      <c r="AT232">
        <v>1</v>
      </c>
      <c r="AU232">
        <v>231</v>
      </c>
      <c r="AV232">
        <v>6</v>
      </c>
      <c r="AW232" t="s">
        <v>866</v>
      </c>
      <c r="AX232" t="s">
        <v>158</v>
      </c>
      <c r="AY232" t="s">
        <v>501</v>
      </c>
      <c r="AZ232">
        <v>1703</v>
      </c>
      <c r="BA232" t="s">
        <v>623</v>
      </c>
      <c r="BB232">
        <v>1026</v>
      </c>
      <c r="BC232" t="s">
        <v>867</v>
      </c>
      <c r="BD232">
        <v>1950</v>
      </c>
      <c r="BE232">
        <v>0</v>
      </c>
      <c r="BF232">
        <v>584.56040089999999</v>
      </c>
    </row>
    <row r="233" spans="1:58" x14ac:dyDescent="0.2">
      <c r="A233">
        <v>232</v>
      </c>
      <c r="B233" t="s">
        <v>280</v>
      </c>
      <c r="C233">
        <v>0</v>
      </c>
      <c r="H233" t="s">
        <v>280</v>
      </c>
      <c r="I233" t="s">
        <v>146</v>
      </c>
      <c r="Q233" t="s">
        <v>280</v>
      </c>
      <c r="R233">
        <v>614.26249759999996</v>
      </c>
      <c r="S233">
        <v>6</v>
      </c>
      <c r="T233">
        <v>130</v>
      </c>
      <c r="V233">
        <v>0</v>
      </c>
      <c r="W233">
        <v>0</v>
      </c>
      <c r="X233" t="s">
        <v>280</v>
      </c>
      <c r="Y233">
        <v>1</v>
      </c>
      <c r="Z233">
        <v>6</v>
      </c>
      <c r="AA233">
        <v>614.26</v>
      </c>
      <c r="AB233">
        <v>130</v>
      </c>
      <c r="AC233">
        <v>0.69</v>
      </c>
      <c r="AD233">
        <v>0.01</v>
      </c>
      <c r="AE233">
        <v>0</v>
      </c>
      <c r="AF233">
        <v>0</v>
      </c>
      <c r="AG233">
        <v>1</v>
      </c>
      <c r="AH233">
        <v>0.69</v>
      </c>
      <c r="AI233">
        <v>0.69</v>
      </c>
      <c r="AJ233">
        <v>0.69</v>
      </c>
      <c r="AK233">
        <v>0.01</v>
      </c>
      <c r="AL233">
        <v>0.01</v>
      </c>
      <c r="AM233">
        <v>0.01</v>
      </c>
      <c r="AN233">
        <v>0</v>
      </c>
      <c r="AO233">
        <v>0</v>
      </c>
      <c r="AP233">
        <v>0</v>
      </c>
      <c r="AQ233">
        <v>614.26249759999996</v>
      </c>
      <c r="AR233">
        <v>0</v>
      </c>
      <c r="AS233">
        <v>232</v>
      </c>
      <c r="AT233">
        <v>1</v>
      </c>
      <c r="AU233">
        <v>232</v>
      </c>
      <c r="AV233">
        <v>6</v>
      </c>
      <c r="AW233" t="s">
        <v>868</v>
      </c>
      <c r="AX233" t="s">
        <v>146</v>
      </c>
      <c r="AY233" t="s">
        <v>501</v>
      </c>
      <c r="AZ233">
        <v>1026</v>
      </c>
      <c r="BA233" t="s">
        <v>867</v>
      </c>
      <c r="BB233">
        <v>1053</v>
      </c>
      <c r="BC233" t="s">
        <v>869</v>
      </c>
      <c r="BD233">
        <v>1980</v>
      </c>
      <c r="BE233">
        <v>0</v>
      </c>
      <c r="BF233">
        <v>657.51479919999997</v>
      </c>
    </row>
    <row r="234" spans="1:58" x14ac:dyDescent="0.2">
      <c r="A234">
        <v>233</v>
      </c>
      <c r="B234" t="s">
        <v>281</v>
      </c>
      <c r="C234">
        <v>0</v>
      </c>
      <c r="H234" t="s">
        <v>281</v>
      </c>
      <c r="I234" t="s">
        <v>146</v>
      </c>
      <c r="Q234" t="s">
        <v>281</v>
      </c>
      <c r="R234">
        <v>43.252130999999999</v>
      </c>
      <c r="S234">
        <v>6</v>
      </c>
      <c r="T234">
        <v>130</v>
      </c>
      <c r="V234">
        <v>0</v>
      </c>
      <c r="W234">
        <v>0</v>
      </c>
      <c r="X234" t="s">
        <v>281</v>
      </c>
      <c r="Y234">
        <v>1</v>
      </c>
      <c r="Z234">
        <v>6</v>
      </c>
      <c r="AA234">
        <v>43.25</v>
      </c>
      <c r="AB234">
        <v>130</v>
      </c>
      <c r="AC234">
        <v>0.69</v>
      </c>
      <c r="AD234">
        <v>0.01</v>
      </c>
      <c r="AE234">
        <v>0</v>
      </c>
      <c r="AF234">
        <v>0</v>
      </c>
      <c r="AG234">
        <v>1</v>
      </c>
      <c r="AH234">
        <v>0.69</v>
      </c>
      <c r="AI234">
        <v>0.69</v>
      </c>
      <c r="AJ234">
        <v>0.69</v>
      </c>
      <c r="AK234">
        <v>0.01</v>
      </c>
      <c r="AL234">
        <v>0.01</v>
      </c>
      <c r="AM234">
        <v>0.01</v>
      </c>
      <c r="AN234">
        <v>0</v>
      </c>
      <c r="AO234">
        <v>0</v>
      </c>
      <c r="AP234">
        <v>0</v>
      </c>
      <c r="AQ234">
        <v>43.252130999999999</v>
      </c>
      <c r="AR234">
        <v>0</v>
      </c>
      <c r="AS234">
        <v>233</v>
      </c>
      <c r="AT234">
        <v>1</v>
      </c>
      <c r="AU234">
        <v>233</v>
      </c>
      <c r="AV234">
        <v>6</v>
      </c>
      <c r="AW234" t="s">
        <v>868</v>
      </c>
      <c r="AX234" t="s">
        <v>146</v>
      </c>
      <c r="AY234" t="s">
        <v>501</v>
      </c>
      <c r="AZ234">
        <v>1026</v>
      </c>
      <c r="BA234" t="s">
        <v>867</v>
      </c>
      <c r="BB234">
        <v>1053</v>
      </c>
      <c r="BC234" t="s">
        <v>869</v>
      </c>
      <c r="BD234">
        <v>1980</v>
      </c>
      <c r="BE234">
        <v>0</v>
      </c>
      <c r="BF234">
        <v>657.51479919999997</v>
      </c>
    </row>
    <row r="235" spans="1:58" x14ac:dyDescent="0.2">
      <c r="A235">
        <v>234</v>
      </c>
      <c r="B235" t="s">
        <v>282</v>
      </c>
      <c r="C235">
        <v>0</v>
      </c>
      <c r="H235" t="s">
        <v>282</v>
      </c>
      <c r="I235" t="s">
        <v>146</v>
      </c>
      <c r="Q235" t="s">
        <v>282</v>
      </c>
      <c r="R235">
        <v>24.76114381</v>
      </c>
      <c r="S235">
        <v>6</v>
      </c>
      <c r="T235">
        <v>130</v>
      </c>
      <c r="V235">
        <v>0</v>
      </c>
      <c r="W235">
        <v>0</v>
      </c>
      <c r="X235" t="s">
        <v>282</v>
      </c>
      <c r="Y235">
        <v>1</v>
      </c>
      <c r="Z235">
        <v>6</v>
      </c>
      <c r="AA235">
        <v>24.76</v>
      </c>
      <c r="AB235">
        <v>130</v>
      </c>
      <c r="AC235">
        <v>23.26</v>
      </c>
      <c r="AD235">
        <v>0.26</v>
      </c>
      <c r="AE235">
        <v>0</v>
      </c>
      <c r="AF235">
        <v>7.0000000000000007E-2</v>
      </c>
      <c r="AG235">
        <v>1</v>
      </c>
      <c r="AH235">
        <v>23.26</v>
      </c>
      <c r="AI235">
        <v>23.26</v>
      </c>
      <c r="AJ235">
        <v>23.26</v>
      </c>
      <c r="AK235">
        <v>0.26</v>
      </c>
      <c r="AL235">
        <v>0.26</v>
      </c>
      <c r="AM235">
        <v>0.26</v>
      </c>
      <c r="AN235">
        <v>0</v>
      </c>
      <c r="AO235">
        <v>0</v>
      </c>
      <c r="AP235">
        <v>0</v>
      </c>
      <c r="AQ235">
        <v>24.76114381</v>
      </c>
      <c r="AR235">
        <v>1</v>
      </c>
      <c r="AS235">
        <v>234</v>
      </c>
      <c r="AT235">
        <v>1</v>
      </c>
      <c r="AU235">
        <v>234</v>
      </c>
      <c r="AV235">
        <v>6</v>
      </c>
      <c r="AW235" t="s">
        <v>806</v>
      </c>
      <c r="AX235" t="s">
        <v>148</v>
      </c>
      <c r="AY235" t="s">
        <v>501</v>
      </c>
      <c r="AZ235">
        <v>875</v>
      </c>
      <c r="BA235" t="s">
        <v>807</v>
      </c>
      <c r="BB235">
        <v>1708</v>
      </c>
      <c r="BC235" t="s">
        <v>644</v>
      </c>
      <c r="BD235">
        <v>1950</v>
      </c>
      <c r="BE235">
        <v>1</v>
      </c>
      <c r="BF235">
        <v>250.8450914</v>
      </c>
    </row>
    <row r="236" spans="1:58" x14ac:dyDescent="0.2">
      <c r="A236">
        <v>235</v>
      </c>
      <c r="B236" t="s">
        <v>283</v>
      </c>
      <c r="C236">
        <v>0</v>
      </c>
      <c r="H236" t="s">
        <v>283</v>
      </c>
      <c r="I236" t="s">
        <v>146</v>
      </c>
      <c r="Q236" t="s">
        <v>283</v>
      </c>
      <c r="R236">
        <v>1193.7274669999999</v>
      </c>
      <c r="S236">
        <v>6</v>
      </c>
      <c r="T236">
        <v>130</v>
      </c>
      <c r="V236">
        <v>0</v>
      </c>
      <c r="W236">
        <v>0</v>
      </c>
      <c r="X236" t="s">
        <v>283</v>
      </c>
      <c r="Y236">
        <v>1</v>
      </c>
      <c r="Z236">
        <v>6</v>
      </c>
      <c r="AA236">
        <v>1193.73</v>
      </c>
      <c r="AB236">
        <v>130</v>
      </c>
      <c r="AC236">
        <v>23.26</v>
      </c>
      <c r="AD236">
        <v>0.26</v>
      </c>
      <c r="AE236">
        <v>0.08</v>
      </c>
      <c r="AF236">
        <v>7.0000000000000007E-2</v>
      </c>
      <c r="AG236">
        <v>1</v>
      </c>
      <c r="AH236">
        <v>23.26</v>
      </c>
      <c r="AI236">
        <v>23.26</v>
      </c>
      <c r="AJ236">
        <v>23.26</v>
      </c>
      <c r="AK236">
        <v>0.26</v>
      </c>
      <c r="AL236">
        <v>0.26</v>
      </c>
      <c r="AM236">
        <v>0.26</v>
      </c>
      <c r="AN236">
        <v>0.08</v>
      </c>
      <c r="AO236">
        <v>0.08</v>
      </c>
      <c r="AP236">
        <v>0.08</v>
      </c>
      <c r="AQ236">
        <v>1193.7274669999999</v>
      </c>
      <c r="AR236">
        <v>0</v>
      </c>
      <c r="AS236">
        <v>235</v>
      </c>
      <c r="AT236">
        <v>1</v>
      </c>
      <c r="AU236">
        <v>235</v>
      </c>
      <c r="AV236">
        <v>6</v>
      </c>
      <c r="AW236" t="s">
        <v>870</v>
      </c>
      <c r="AX236" t="s">
        <v>146</v>
      </c>
      <c r="AY236" t="s">
        <v>501</v>
      </c>
      <c r="AZ236">
        <v>875</v>
      </c>
      <c r="BA236" t="s">
        <v>807</v>
      </c>
      <c r="BB236">
        <v>1011</v>
      </c>
      <c r="BC236" t="s">
        <v>659</v>
      </c>
      <c r="BD236">
        <v>1980</v>
      </c>
      <c r="BE236">
        <v>0</v>
      </c>
      <c r="BF236">
        <v>2206.383977</v>
      </c>
    </row>
    <row r="237" spans="1:58" x14ac:dyDescent="0.2">
      <c r="A237">
        <v>236</v>
      </c>
      <c r="B237" t="s">
        <v>284</v>
      </c>
      <c r="C237">
        <v>0</v>
      </c>
      <c r="H237" t="s">
        <v>284</v>
      </c>
      <c r="I237" t="s">
        <v>146</v>
      </c>
      <c r="Q237" t="s">
        <v>284</v>
      </c>
      <c r="R237">
        <v>967.53173800000002</v>
      </c>
      <c r="S237">
        <v>6</v>
      </c>
      <c r="T237">
        <v>130</v>
      </c>
      <c r="V237">
        <v>0</v>
      </c>
      <c r="W237">
        <v>0</v>
      </c>
      <c r="X237" t="s">
        <v>284</v>
      </c>
      <c r="Y237">
        <v>1</v>
      </c>
      <c r="Z237">
        <v>6</v>
      </c>
      <c r="AA237">
        <v>967.53</v>
      </c>
      <c r="AB237">
        <v>130</v>
      </c>
      <c r="AC237">
        <v>23.26</v>
      </c>
      <c r="AD237">
        <v>0.26</v>
      </c>
      <c r="AE237">
        <v>7.0000000000000007E-2</v>
      </c>
      <c r="AF237">
        <v>7.0000000000000007E-2</v>
      </c>
      <c r="AG237">
        <v>1</v>
      </c>
      <c r="AH237">
        <v>23.26</v>
      </c>
      <c r="AI237">
        <v>23.26</v>
      </c>
      <c r="AJ237">
        <v>23.26</v>
      </c>
      <c r="AK237">
        <v>0.26</v>
      </c>
      <c r="AL237">
        <v>0.26</v>
      </c>
      <c r="AM237">
        <v>0.26</v>
      </c>
      <c r="AN237">
        <v>7.0000000000000007E-2</v>
      </c>
      <c r="AO237">
        <v>7.0000000000000007E-2</v>
      </c>
      <c r="AP237">
        <v>7.0000000000000007E-2</v>
      </c>
      <c r="AQ237">
        <v>967.53173800000002</v>
      </c>
      <c r="AR237">
        <v>0</v>
      </c>
      <c r="AS237">
        <v>236</v>
      </c>
      <c r="AT237">
        <v>1</v>
      </c>
      <c r="AU237">
        <v>236</v>
      </c>
      <c r="AV237">
        <v>6</v>
      </c>
      <c r="AW237" t="s">
        <v>870</v>
      </c>
      <c r="AX237" t="s">
        <v>146</v>
      </c>
      <c r="AY237" t="s">
        <v>501</v>
      </c>
      <c r="AZ237">
        <v>875</v>
      </c>
      <c r="BA237" t="s">
        <v>807</v>
      </c>
      <c r="BB237">
        <v>1011</v>
      </c>
      <c r="BC237" t="s">
        <v>659</v>
      </c>
      <c r="BD237">
        <v>1980</v>
      </c>
      <c r="BE237">
        <v>0</v>
      </c>
      <c r="BF237">
        <v>2206.383977</v>
      </c>
    </row>
    <row r="238" spans="1:58" x14ac:dyDescent="0.2">
      <c r="A238">
        <v>237</v>
      </c>
      <c r="B238" t="s">
        <v>285</v>
      </c>
      <c r="C238">
        <v>0</v>
      </c>
      <c r="H238" t="s">
        <v>285</v>
      </c>
      <c r="I238" t="s">
        <v>146</v>
      </c>
      <c r="Q238" t="s">
        <v>285</v>
      </c>
      <c r="R238">
        <v>33.308041430000003</v>
      </c>
      <c r="S238">
        <v>6</v>
      </c>
      <c r="T238">
        <v>130</v>
      </c>
      <c r="V238">
        <v>0</v>
      </c>
      <c r="W238">
        <v>0</v>
      </c>
      <c r="X238" t="s">
        <v>285</v>
      </c>
      <c r="Y238">
        <v>1</v>
      </c>
      <c r="Z238">
        <v>6</v>
      </c>
      <c r="AA238">
        <v>33.31</v>
      </c>
      <c r="AB238">
        <v>130</v>
      </c>
      <c r="AC238">
        <v>23.26</v>
      </c>
      <c r="AD238">
        <v>0.26</v>
      </c>
      <c r="AE238">
        <v>0</v>
      </c>
      <c r="AF238">
        <v>7.0000000000000007E-2</v>
      </c>
      <c r="AG238">
        <v>1</v>
      </c>
      <c r="AH238">
        <v>23.26</v>
      </c>
      <c r="AI238">
        <v>23.26</v>
      </c>
      <c r="AJ238">
        <v>23.26</v>
      </c>
      <c r="AK238">
        <v>0.26</v>
      </c>
      <c r="AL238">
        <v>0.26</v>
      </c>
      <c r="AM238">
        <v>0.26</v>
      </c>
      <c r="AN238">
        <v>0</v>
      </c>
      <c r="AO238">
        <v>0</v>
      </c>
      <c r="AP238">
        <v>0</v>
      </c>
      <c r="AQ238">
        <v>33.308041430000003</v>
      </c>
      <c r="AR238">
        <v>0</v>
      </c>
      <c r="AS238">
        <v>237</v>
      </c>
      <c r="AT238">
        <v>1</v>
      </c>
      <c r="AU238">
        <v>237</v>
      </c>
      <c r="AV238">
        <v>6</v>
      </c>
      <c r="AW238" t="s">
        <v>871</v>
      </c>
      <c r="AX238" t="s">
        <v>146</v>
      </c>
      <c r="AY238" t="s">
        <v>501</v>
      </c>
      <c r="AZ238">
        <v>929</v>
      </c>
      <c r="BA238" t="s">
        <v>872</v>
      </c>
      <c r="BB238">
        <v>1011</v>
      </c>
      <c r="BC238" t="s">
        <v>659</v>
      </c>
      <c r="BD238">
        <v>1980</v>
      </c>
      <c r="BE238">
        <v>0</v>
      </c>
      <c r="BF238">
        <v>249.6079268</v>
      </c>
    </row>
    <row r="239" spans="1:58" x14ac:dyDescent="0.2">
      <c r="A239">
        <v>238</v>
      </c>
      <c r="B239" t="s">
        <v>286</v>
      </c>
      <c r="C239">
        <v>0</v>
      </c>
      <c r="H239" t="s">
        <v>286</v>
      </c>
      <c r="I239" t="s">
        <v>146</v>
      </c>
      <c r="Q239" t="s">
        <v>286</v>
      </c>
      <c r="R239">
        <v>228.6380628</v>
      </c>
      <c r="S239">
        <v>6</v>
      </c>
      <c r="T239">
        <v>130</v>
      </c>
      <c r="V239">
        <v>0</v>
      </c>
      <c r="W239">
        <v>0</v>
      </c>
      <c r="X239" t="s">
        <v>286</v>
      </c>
      <c r="Y239">
        <v>-1</v>
      </c>
      <c r="Z239">
        <v>6</v>
      </c>
      <c r="AA239">
        <v>228.64</v>
      </c>
      <c r="AB239">
        <v>130</v>
      </c>
      <c r="AC239">
        <v>28.5</v>
      </c>
      <c r="AD239">
        <v>0.32</v>
      </c>
      <c r="AE239">
        <v>0.02</v>
      </c>
      <c r="AF239">
        <v>0.1</v>
      </c>
      <c r="AG239">
        <v>1</v>
      </c>
      <c r="AH239">
        <v>28.5</v>
      </c>
      <c r="AI239">
        <v>28.5</v>
      </c>
      <c r="AJ239">
        <v>28.5</v>
      </c>
      <c r="AK239">
        <v>0.32</v>
      </c>
      <c r="AL239">
        <v>0.32</v>
      </c>
      <c r="AM239">
        <v>0.32</v>
      </c>
      <c r="AN239">
        <v>0.02</v>
      </c>
      <c r="AO239">
        <v>0.02</v>
      </c>
      <c r="AP239">
        <v>0.02</v>
      </c>
      <c r="AQ239">
        <v>228.6380628</v>
      </c>
      <c r="AR239">
        <v>0</v>
      </c>
      <c r="AS239">
        <v>238</v>
      </c>
      <c r="AT239">
        <v>1</v>
      </c>
      <c r="AU239">
        <v>238</v>
      </c>
      <c r="AV239">
        <v>6</v>
      </c>
      <c r="AW239" t="s">
        <v>871</v>
      </c>
      <c r="AX239" t="s">
        <v>146</v>
      </c>
      <c r="AY239" t="s">
        <v>501</v>
      </c>
      <c r="AZ239">
        <v>929</v>
      </c>
      <c r="BA239" t="s">
        <v>872</v>
      </c>
      <c r="BB239">
        <v>1011</v>
      </c>
      <c r="BC239" t="s">
        <v>659</v>
      </c>
      <c r="BD239">
        <v>1980</v>
      </c>
      <c r="BE239">
        <v>0</v>
      </c>
      <c r="BF239">
        <v>249.6079268</v>
      </c>
    </row>
    <row r="240" spans="1:58" x14ac:dyDescent="0.2">
      <c r="A240">
        <v>239</v>
      </c>
      <c r="B240" t="s">
        <v>287</v>
      </c>
      <c r="C240">
        <v>0</v>
      </c>
      <c r="H240" t="s">
        <v>287</v>
      </c>
      <c r="I240" t="s">
        <v>146</v>
      </c>
      <c r="Q240" t="s">
        <v>287</v>
      </c>
      <c r="R240">
        <v>62.34762834</v>
      </c>
      <c r="S240">
        <v>6</v>
      </c>
      <c r="T240">
        <v>130</v>
      </c>
      <c r="V240">
        <v>0</v>
      </c>
      <c r="W240">
        <v>0</v>
      </c>
      <c r="X240" t="s">
        <v>287</v>
      </c>
      <c r="Y240">
        <v>-1</v>
      </c>
      <c r="Z240">
        <v>6</v>
      </c>
      <c r="AA240">
        <v>62.35</v>
      </c>
      <c r="AB240">
        <v>130</v>
      </c>
      <c r="AC240">
        <v>6.64</v>
      </c>
      <c r="AD240">
        <v>0.08</v>
      </c>
      <c r="AE240">
        <v>0</v>
      </c>
      <c r="AF240">
        <v>0.01</v>
      </c>
      <c r="AG240">
        <v>1</v>
      </c>
      <c r="AH240">
        <v>6.64</v>
      </c>
      <c r="AI240">
        <v>6.64</v>
      </c>
      <c r="AJ240">
        <v>6.64</v>
      </c>
      <c r="AK240">
        <v>0.08</v>
      </c>
      <c r="AL240">
        <v>0.08</v>
      </c>
      <c r="AM240">
        <v>0.08</v>
      </c>
      <c r="AN240">
        <v>0</v>
      </c>
      <c r="AO240">
        <v>0</v>
      </c>
      <c r="AP240">
        <v>0</v>
      </c>
      <c r="AQ240">
        <v>62.34762834</v>
      </c>
      <c r="AR240">
        <v>0</v>
      </c>
      <c r="AS240">
        <v>239</v>
      </c>
      <c r="AT240">
        <v>1</v>
      </c>
      <c r="AU240">
        <v>239</v>
      </c>
      <c r="AV240">
        <v>6</v>
      </c>
      <c r="AW240" t="s">
        <v>870</v>
      </c>
      <c r="AX240" t="s">
        <v>146</v>
      </c>
      <c r="AY240" t="s">
        <v>501</v>
      </c>
      <c r="AZ240">
        <v>875</v>
      </c>
      <c r="BA240" t="s">
        <v>807</v>
      </c>
      <c r="BB240">
        <v>1011</v>
      </c>
      <c r="BC240" t="s">
        <v>659</v>
      </c>
      <c r="BD240">
        <v>1980</v>
      </c>
      <c r="BE240">
        <v>0</v>
      </c>
      <c r="BF240">
        <v>2206.383977</v>
      </c>
    </row>
    <row r="241" spans="1:58" x14ac:dyDescent="0.2">
      <c r="A241">
        <v>240</v>
      </c>
      <c r="B241" t="s">
        <v>288</v>
      </c>
      <c r="C241">
        <v>0</v>
      </c>
      <c r="H241" t="s">
        <v>288</v>
      </c>
      <c r="I241" t="s">
        <v>146</v>
      </c>
      <c r="Q241" t="s">
        <v>288</v>
      </c>
      <c r="R241">
        <v>528.52729450000004</v>
      </c>
      <c r="S241">
        <v>6</v>
      </c>
      <c r="T241">
        <v>130</v>
      </c>
      <c r="V241">
        <v>0</v>
      </c>
      <c r="W241">
        <v>0</v>
      </c>
      <c r="X241" t="s">
        <v>288</v>
      </c>
      <c r="Y241">
        <v>-1</v>
      </c>
      <c r="Z241">
        <v>6</v>
      </c>
      <c r="AA241">
        <v>528.53</v>
      </c>
      <c r="AB241">
        <v>130</v>
      </c>
      <c r="AC241">
        <v>6.78</v>
      </c>
      <c r="AD241">
        <v>0.08</v>
      </c>
      <c r="AE241">
        <v>0</v>
      </c>
      <c r="AF241">
        <v>0.01</v>
      </c>
      <c r="AG241">
        <v>1</v>
      </c>
      <c r="AH241">
        <v>6.78</v>
      </c>
      <c r="AI241">
        <v>6.78</v>
      </c>
      <c r="AJ241">
        <v>6.78</v>
      </c>
      <c r="AK241">
        <v>0.08</v>
      </c>
      <c r="AL241">
        <v>0.08</v>
      </c>
      <c r="AM241">
        <v>0.08</v>
      </c>
      <c r="AN241">
        <v>0</v>
      </c>
      <c r="AO241">
        <v>0</v>
      </c>
      <c r="AP241">
        <v>0</v>
      </c>
      <c r="AQ241">
        <v>528.52729450000004</v>
      </c>
      <c r="AR241">
        <v>0</v>
      </c>
      <c r="AS241">
        <v>240</v>
      </c>
      <c r="AT241">
        <v>1</v>
      </c>
      <c r="AU241">
        <v>240</v>
      </c>
      <c r="AV241">
        <v>6</v>
      </c>
      <c r="AW241" t="s">
        <v>873</v>
      </c>
      <c r="AX241" t="s">
        <v>146</v>
      </c>
      <c r="AY241" t="s">
        <v>501</v>
      </c>
      <c r="AZ241">
        <v>1714</v>
      </c>
      <c r="BA241" t="s">
        <v>660</v>
      </c>
      <c r="BB241">
        <v>1713</v>
      </c>
      <c r="BC241" t="s">
        <v>657</v>
      </c>
      <c r="BD241">
        <v>1980</v>
      </c>
      <c r="BE241">
        <v>0</v>
      </c>
      <c r="BF241">
        <v>515.11805860000004</v>
      </c>
    </row>
    <row r="242" spans="1:58" x14ac:dyDescent="0.2">
      <c r="A242">
        <v>241</v>
      </c>
      <c r="B242" t="s">
        <v>289</v>
      </c>
      <c r="C242">
        <v>0</v>
      </c>
      <c r="H242" t="s">
        <v>289</v>
      </c>
      <c r="I242" t="s">
        <v>146</v>
      </c>
      <c r="Q242" t="s">
        <v>289</v>
      </c>
      <c r="R242">
        <v>455.58295479999998</v>
      </c>
      <c r="S242">
        <v>6</v>
      </c>
      <c r="T242">
        <v>130</v>
      </c>
      <c r="V242">
        <v>0</v>
      </c>
      <c r="W242">
        <v>0</v>
      </c>
      <c r="X242" t="s">
        <v>289</v>
      </c>
      <c r="Y242">
        <v>-1</v>
      </c>
      <c r="Z242">
        <v>6</v>
      </c>
      <c r="AA242">
        <v>455.58</v>
      </c>
      <c r="AB242">
        <v>130</v>
      </c>
      <c r="AC242">
        <v>6.78</v>
      </c>
      <c r="AD242">
        <v>0.08</v>
      </c>
      <c r="AE242">
        <v>0</v>
      </c>
      <c r="AF242">
        <v>0.01</v>
      </c>
      <c r="AG242">
        <v>1</v>
      </c>
      <c r="AH242">
        <v>6.78</v>
      </c>
      <c r="AI242">
        <v>6.78</v>
      </c>
      <c r="AJ242">
        <v>6.78</v>
      </c>
      <c r="AK242">
        <v>0.08</v>
      </c>
      <c r="AL242">
        <v>0.08</v>
      </c>
      <c r="AM242">
        <v>0.08</v>
      </c>
      <c r="AN242">
        <v>0</v>
      </c>
      <c r="AO242">
        <v>0</v>
      </c>
      <c r="AP242">
        <v>0</v>
      </c>
      <c r="AQ242">
        <v>455.58295479999998</v>
      </c>
      <c r="AR242">
        <v>0</v>
      </c>
      <c r="AS242">
        <v>241</v>
      </c>
      <c r="AT242">
        <v>1</v>
      </c>
      <c r="AU242">
        <v>241</v>
      </c>
      <c r="AV242">
        <v>6</v>
      </c>
      <c r="AW242" t="s">
        <v>656</v>
      </c>
      <c r="AX242" t="s">
        <v>146</v>
      </c>
      <c r="AY242" t="s">
        <v>501</v>
      </c>
      <c r="AZ242">
        <v>1713</v>
      </c>
      <c r="BA242" t="s">
        <v>657</v>
      </c>
      <c r="BB242">
        <v>1013</v>
      </c>
      <c r="BC242" t="s">
        <v>646</v>
      </c>
      <c r="BD242">
        <v>1980</v>
      </c>
      <c r="BE242">
        <v>0</v>
      </c>
      <c r="BF242">
        <v>487.16825970000002</v>
      </c>
    </row>
    <row r="243" spans="1:58" x14ac:dyDescent="0.2">
      <c r="A243">
        <v>242</v>
      </c>
      <c r="B243" t="s">
        <v>290</v>
      </c>
      <c r="C243">
        <v>0</v>
      </c>
      <c r="H243" t="s">
        <v>290</v>
      </c>
      <c r="I243" t="s">
        <v>146</v>
      </c>
      <c r="Q243" t="s">
        <v>290</v>
      </c>
      <c r="R243">
        <v>31.658261719999999</v>
      </c>
      <c r="S243">
        <v>6</v>
      </c>
      <c r="T243">
        <v>130</v>
      </c>
      <c r="V243">
        <v>0</v>
      </c>
      <c r="W243">
        <v>0</v>
      </c>
      <c r="X243" t="s">
        <v>290</v>
      </c>
      <c r="Y243">
        <v>-1</v>
      </c>
      <c r="Z243">
        <v>6</v>
      </c>
      <c r="AA243">
        <v>31.66</v>
      </c>
      <c r="AB243">
        <v>130</v>
      </c>
      <c r="AC243">
        <v>6.78</v>
      </c>
      <c r="AD243">
        <v>0.08</v>
      </c>
      <c r="AE243">
        <v>0</v>
      </c>
      <c r="AF243">
        <v>0.01</v>
      </c>
      <c r="AG243">
        <v>1</v>
      </c>
      <c r="AH243">
        <v>6.78</v>
      </c>
      <c r="AI243">
        <v>6.78</v>
      </c>
      <c r="AJ243">
        <v>6.78</v>
      </c>
      <c r="AK243">
        <v>0.08</v>
      </c>
      <c r="AL243">
        <v>0.08</v>
      </c>
      <c r="AM243">
        <v>0.08</v>
      </c>
      <c r="AN243">
        <v>0</v>
      </c>
      <c r="AO243">
        <v>0</v>
      </c>
      <c r="AP243">
        <v>0</v>
      </c>
      <c r="AQ243">
        <v>31.658261719999999</v>
      </c>
      <c r="AR243">
        <v>0</v>
      </c>
      <c r="AS243">
        <v>242</v>
      </c>
      <c r="AT243">
        <v>1</v>
      </c>
      <c r="AU243">
        <v>242</v>
      </c>
      <c r="AV243">
        <v>6</v>
      </c>
      <c r="AW243" t="s">
        <v>648</v>
      </c>
      <c r="AX243" t="s">
        <v>158</v>
      </c>
      <c r="AY243" t="s">
        <v>501</v>
      </c>
      <c r="AZ243">
        <v>1710</v>
      </c>
      <c r="BA243" t="s">
        <v>649</v>
      </c>
      <c r="BB243">
        <v>1013</v>
      </c>
      <c r="BC243" t="s">
        <v>646</v>
      </c>
      <c r="BD243">
        <v>1950</v>
      </c>
      <c r="BE243">
        <v>1</v>
      </c>
      <c r="BF243">
        <v>85.834384920000005</v>
      </c>
    </row>
    <row r="244" spans="1:58" x14ac:dyDescent="0.2">
      <c r="A244">
        <v>243</v>
      </c>
      <c r="B244" t="s">
        <v>291</v>
      </c>
      <c r="C244">
        <v>0</v>
      </c>
      <c r="H244" t="s">
        <v>291</v>
      </c>
      <c r="I244" t="s">
        <v>146</v>
      </c>
      <c r="Q244" t="s">
        <v>291</v>
      </c>
      <c r="R244">
        <v>425.86990750000001</v>
      </c>
      <c r="S244">
        <v>2</v>
      </c>
      <c r="T244">
        <v>130</v>
      </c>
      <c r="V244">
        <v>0</v>
      </c>
      <c r="W244">
        <v>0</v>
      </c>
      <c r="X244" t="s">
        <v>291</v>
      </c>
      <c r="Y244">
        <v>0</v>
      </c>
      <c r="Z244">
        <v>2</v>
      </c>
      <c r="AA244">
        <v>425.87</v>
      </c>
      <c r="AB244">
        <v>130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425.86990750000001</v>
      </c>
      <c r="AR244">
        <v>0</v>
      </c>
      <c r="AS244">
        <v>243</v>
      </c>
      <c r="AT244">
        <v>1</v>
      </c>
      <c r="AU244">
        <v>243</v>
      </c>
      <c r="AV244">
        <v>10</v>
      </c>
      <c r="AW244" t="s">
        <v>874</v>
      </c>
      <c r="AX244" t="s">
        <v>158</v>
      </c>
      <c r="AY244" t="s">
        <v>501</v>
      </c>
      <c r="AZ244">
        <v>1739</v>
      </c>
      <c r="BA244" t="s">
        <v>721</v>
      </c>
      <c r="BB244">
        <v>878</v>
      </c>
      <c r="BC244" t="s">
        <v>841</v>
      </c>
      <c r="BD244">
        <v>1950</v>
      </c>
      <c r="BE244">
        <v>0</v>
      </c>
      <c r="BF244">
        <v>285.35917990000002</v>
      </c>
    </row>
    <row r="245" spans="1:58" x14ac:dyDescent="0.2">
      <c r="A245">
        <v>244</v>
      </c>
      <c r="B245" t="s">
        <v>292</v>
      </c>
      <c r="C245">
        <v>0</v>
      </c>
      <c r="H245" t="s">
        <v>292</v>
      </c>
      <c r="I245" t="s">
        <v>141</v>
      </c>
      <c r="Q245" t="s">
        <v>292</v>
      </c>
      <c r="R245">
        <v>34.196326089999999</v>
      </c>
      <c r="S245">
        <v>2</v>
      </c>
      <c r="T245">
        <v>130</v>
      </c>
      <c r="V245">
        <v>0</v>
      </c>
      <c r="W245">
        <v>0</v>
      </c>
      <c r="X245" t="s">
        <v>292</v>
      </c>
      <c r="Y245">
        <v>1</v>
      </c>
      <c r="Z245">
        <v>2</v>
      </c>
      <c r="AA245">
        <v>34.200000000000003</v>
      </c>
      <c r="AB245">
        <v>130</v>
      </c>
      <c r="AC245">
        <v>5.17</v>
      </c>
      <c r="AD245">
        <v>0.53</v>
      </c>
      <c r="AE245">
        <v>0.03</v>
      </c>
      <c r="AF245">
        <v>0.91</v>
      </c>
      <c r="AG245">
        <v>1</v>
      </c>
      <c r="AH245">
        <v>5.17</v>
      </c>
      <c r="AI245">
        <v>5.17</v>
      </c>
      <c r="AJ245">
        <v>5.17</v>
      </c>
      <c r="AK245">
        <v>0.53</v>
      </c>
      <c r="AL245">
        <v>0.53</v>
      </c>
      <c r="AM245">
        <v>0.53</v>
      </c>
      <c r="AN245">
        <v>0.03</v>
      </c>
      <c r="AO245">
        <v>0.03</v>
      </c>
      <c r="AP245">
        <v>0.03</v>
      </c>
      <c r="AQ245">
        <v>34.196326089999999</v>
      </c>
      <c r="AR245">
        <v>0</v>
      </c>
      <c r="AS245">
        <v>244</v>
      </c>
      <c r="AT245">
        <v>1</v>
      </c>
      <c r="AU245">
        <v>244</v>
      </c>
      <c r="AV245">
        <v>10</v>
      </c>
      <c r="AW245" t="s">
        <v>837</v>
      </c>
      <c r="AX245" t="s">
        <v>158</v>
      </c>
      <c r="AY245" t="s">
        <v>501</v>
      </c>
      <c r="AZ245">
        <v>1741</v>
      </c>
      <c r="BA245" t="s">
        <v>726</v>
      </c>
      <c r="BB245">
        <v>947</v>
      </c>
      <c r="BC245" t="s">
        <v>700</v>
      </c>
      <c r="BD245">
        <v>1950</v>
      </c>
      <c r="BE245">
        <v>1</v>
      </c>
      <c r="BF245">
        <v>835.81779389999997</v>
      </c>
    </row>
    <row r="246" spans="1:58" x14ac:dyDescent="0.2">
      <c r="A246">
        <v>245</v>
      </c>
      <c r="B246" t="s">
        <v>293</v>
      </c>
      <c r="C246">
        <v>0</v>
      </c>
      <c r="H246" t="s">
        <v>293</v>
      </c>
      <c r="I246" t="s">
        <v>141</v>
      </c>
      <c r="Q246" t="s">
        <v>293</v>
      </c>
      <c r="R246">
        <v>216.6383419</v>
      </c>
      <c r="S246">
        <v>2</v>
      </c>
      <c r="T246">
        <v>130</v>
      </c>
      <c r="V246">
        <v>0</v>
      </c>
      <c r="W246">
        <v>0</v>
      </c>
      <c r="X246" t="s">
        <v>293</v>
      </c>
      <c r="Y246">
        <v>1</v>
      </c>
      <c r="Z246">
        <v>2</v>
      </c>
      <c r="AA246">
        <v>216.64</v>
      </c>
      <c r="AB246">
        <v>130</v>
      </c>
      <c r="AC246">
        <v>5.17</v>
      </c>
      <c r="AD246">
        <v>0.53</v>
      </c>
      <c r="AE246">
        <v>0.2</v>
      </c>
      <c r="AF246">
        <v>0.91</v>
      </c>
      <c r="AG246">
        <v>1</v>
      </c>
      <c r="AH246">
        <v>5.17</v>
      </c>
      <c r="AI246">
        <v>5.17</v>
      </c>
      <c r="AJ246">
        <v>5.17</v>
      </c>
      <c r="AK246">
        <v>0.53</v>
      </c>
      <c r="AL246">
        <v>0.53</v>
      </c>
      <c r="AM246">
        <v>0.53</v>
      </c>
      <c r="AN246">
        <v>0.2</v>
      </c>
      <c r="AO246">
        <v>0.2</v>
      </c>
      <c r="AP246">
        <v>0.2</v>
      </c>
      <c r="AQ246">
        <v>216.6383419</v>
      </c>
      <c r="AR246">
        <v>0</v>
      </c>
      <c r="AS246">
        <v>245</v>
      </c>
      <c r="AT246">
        <v>1</v>
      </c>
      <c r="AU246">
        <v>245</v>
      </c>
      <c r="AV246">
        <v>2</v>
      </c>
      <c r="AW246" t="s">
        <v>699</v>
      </c>
      <c r="AX246" t="s">
        <v>141</v>
      </c>
      <c r="AY246" t="s">
        <v>501</v>
      </c>
      <c r="AZ246">
        <v>947</v>
      </c>
      <c r="BA246" t="s">
        <v>700</v>
      </c>
      <c r="BB246">
        <v>1731</v>
      </c>
      <c r="BC246" t="s">
        <v>701</v>
      </c>
      <c r="BD246">
        <v>1950</v>
      </c>
      <c r="BE246">
        <v>0</v>
      </c>
      <c r="BF246">
        <v>317.22261889999999</v>
      </c>
    </row>
    <row r="247" spans="1:58" x14ac:dyDescent="0.2">
      <c r="A247">
        <v>246</v>
      </c>
      <c r="B247" t="s">
        <v>294</v>
      </c>
      <c r="C247">
        <v>0</v>
      </c>
      <c r="H247" t="s">
        <v>294</v>
      </c>
      <c r="I247" t="s">
        <v>141</v>
      </c>
      <c r="Q247" t="s">
        <v>294</v>
      </c>
      <c r="R247">
        <v>456.69837489999998</v>
      </c>
      <c r="S247">
        <v>2</v>
      </c>
      <c r="T247">
        <v>130</v>
      </c>
      <c r="V247">
        <v>0</v>
      </c>
      <c r="W247">
        <v>0</v>
      </c>
      <c r="X247" t="s">
        <v>294</v>
      </c>
      <c r="Y247">
        <v>1</v>
      </c>
      <c r="Z247">
        <v>2</v>
      </c>
      <c r="AA247">
        <v>456.7</v>
      </c>
      <c r="AB247">
        <v>130</v>
      </c>
      <c r="AC247">
        <v>4.62</v>
      </c>
      <c r="AD247">
        <v>0.47</v>
      </c>
      <c r="AE247">
        <v>0.34</v>
      </c>
      <c r="AF247">
        <v>0.74</v>
      </c>
      <c r="AG247">
        <v>1</v>
      </c>
      <c r="AH247">
        <v>4.62</v>
      </c>
      <c r="AI247">
        <v>4.62</v>
      </c>
      <c r="AJ247">
        <v>4.62</v>
      </c>
      <c r="AK247">
        <v>0.47</v>
      </c>
      <c r="AL247">
        <v>0.47</v>
      </c>
      <c r="AM247">
        <v>0.47</v>
      </c>
      <c r="AN247">
        <v>0.34</v>
      </c>
      <c r="AO247">
        <v>0.34</v>
      </c>
      <c r="AP247">
        <v>0.34</v>
      </c>
      <c r="AQ247">
        <v>456.69837489999998</v>
      </c>
      <c r="AR247">
        <v>0</v>
      </c>
      <c r="AS247">
        <v>246</v>
      </c>
      <c r="AT247">
        <v>1</v>
      </c>
      <c r="AU247">
        <v>246</v>
      </c>
      <c r="AV247">
        <v>2</v>
      </c>
      <c r="AW247" t="s">
        <v>875</v>
      </c>
      <c r="AX247" t="s">
        <v>141</v>
      </c>
      <c r="AY247" t="s">
        <v>501</v>
      </c>
      <c r="AZ247">
        <v>1731</v>
      </c>
      <c r="BA247" t="s">
        <v>701</v>
      </c>
      <c r="BB247">
        <v>948</v>
      </c>
      <c r="BC247" t="s">
        <v>697</v>
      </c>
      <c r="BD247">
        <v>1950</v>
      </c>
      <c r="BE247">
        <v>0</v>
      </c>
      <c r="BF247">
        <v>416.67979930000001</v>
      </c>
    </row>
    <row r="248" spans="1:58" x14ac:dyDescent="0.2">
      <c r="A248">
        <v>247</v>
      </c>
      <c r="B248" t="s">
        <v>295</v>
      </c>
      <c r="C248">
        <v>0</v>
      </c>
      <c r="H248" t="s">
        <v>295</v>
      </c>
      <c r="I248" t="s">
        <v>146</v>
      </c>
      <c r="Q248" t="s">
        <v>295</v>
      </c>
      <c r="R248">
        <v>397.55740259999999</v>
      </c>
      <c r="S248">
        <v>2</v>
      </c>
      <c r="T248">
        <v>130</v>
      </c>
      <c r="V248">
        <v>0</v>
      </c>
      <c r="W248">
        <v>0</v>
      </c>
      <c r="X248" t="s">
        <v>295</v>
      </c>
      <c r="Y248">
        <v>1</v>
      </c>
      <c r="Z248">
        <v>2</v>
      </c>
      <c r="AA248">
        <v>397.56</v>
      </c>
      <c r="AB248">
        <v>130</v>
      </c>
      <c r="AC248">
        <v>0.28000000000000003</v>
      </c>
      <c r="AD248">
        <v>0.03</v>
      </c>
      <c r="AE248">
        <v>0</v>
      </c>
      <c r="AF248">
        <v>0</v>
      </c>
      <c r="AG248">
        <v>1</v>
      </c>
      <c r="AH248">
        <v>0.28000000000000003</v>
      </c>
      <c r="AI248">
        <v>0.28000000000000003</v>
      </c>
      <c r="AJ248">
        <v>0.28000000000000003</v>
      </c>
      <c r="AK248">
        <v>0.03</v>
      </c>
      <c r="AL248">
        <v>0.03</v>
      </c>
      <c r="AM248">
        <v>0.03</v>
      </c>
      <c r="AN248">
        <v>0</v>
      </c>
      <c r="AO248">
        <v>0</v>
      </c>
      <c r="AP248">
        <v>0</v>
      </c>
      <c r="AQ248">
        <v>397.55740259999999</v>
      </c>
      <c r="AR248">
        <v>0</v>
      </c>
      <c r="AS248">
        <v>247</v>
      </c>
      <c r="AT248">
        <v>1</v>
      </c>
      <c r="AU248">
        <v>247</v>
      </c>
      <c r="AV248">
        <v>6</v>
      </c>
      <c r="AW248" t="s">
        <v>781</v>
      </c>
      <c r="AX248" t="s">
        <v>158</v>
      </c>
      <c r="AY248" t="s">
        <v>501</v>
      </c>
      <c r="AZ248">
        <v>1675</v>
      </c>
      <c r="BA248" t="s">
        <v>509</v>
      </c>
      <c r="BB248">
        <v>911</v>
      </c>
      <c r="BC248" t="s">
        <v>782</v>
      </c>
      <c r="BD248">
        <v>1950</v>
      </c>
      <c r="BE248">
        <v>0</v>
      </c>
      <c r="BF248">
        <v>156.8810129</v>
      </c>
    </row>
    <row r="249" spans="1:58" x14ac:dyDescent="0.2">
      <c r="A249">
        <v>248</v>
      </c>
      <c r="B249" t="s">
        <v>296</v>
      </c>
      <c r="C249">
        <v>0</v>
      </c>
      <c r="H249" t="s">
        <v>296</v>
      </c>
      <c r="I249" t="s">
        <v>146</v>
      </c>
      <c r="Q249" t="s">
        <v>296</v>
      </c>
      <c r="R249">
        <v>835.34631239999999</v>
      </c>
      <c r="S249">
        <v>6</v>
      </c>
      <c r="T249">
        <v>130</v>
      </c>
      <c r="V249">
        <v>0</v>
      </c>
      <c r="W249">
        <v>0</v>
      </c>
      <c r="X249" t="s">
        <v>296</v>
      </c>
      <c r="Y249">
        <v>-1</v>
      </c>
      <c r="Z249">
        <v>6</v>
      </c>
      <c r="AA249">
        <v>835.35</v>
      </c>
      <c r="AB249">
        <v>130</v>
      </c>
      <c r="AC249">
        <v>6.75</v>
      </c>
      <c r="AD249">
        <v>0.08</v>
      </c>
      <c r="AE249">
        <v>0.01</v>
      </c>
      <c r="AF249">
        <v>0.01</v>
      </c>
      <c r="AG249">
        <v>1</v>
      </c>
      <c r="AH249">
        <v>6.75</v>
      </c>
      <c r="AI249">
        <v>6.75</v>
      </c>
      <c r="AJ249">
        <v>6.75</v>
      </c>
      <c r="AK249">
        <v>0.08</v>
      </c>
      <c r="AL249">
        <v>0.08</v>
      </c>
      <c r="AM249">
        <v>0.08</v>
      </c>
      <c r="AN249">
        <v>0.01</v>
      </c>
      <c r="AO249">
        <v>0.01</v>
      </c>
      <c r="AP249">
        <v>0.01</v>
      </c>
      <c r="AQ249">
        <v>835.34631239999999</v>
      </c>
      <c r="AR249">
        <v>0</v>
      </c>
      <c r="AS249">
        <v>248</v>
      </c>
      <c r="AT249">
        <v>1</v>
      </c>
      <c r="AU249">
        <v>248</v>
      </c>
      <c r="AV249">
        <v>6</v>
      </c>
      <c r="AW249" t="s">
        <v>552</v>
      </c>
      <c r="AX249" t="s">
        <v>45</v>
      </c>
      <c r="AY249" t="s">
        <v>501</v>
      </c>
      <c r="AZ249">
        <v>1523</v>
      </c>
      <c r="BA249" t="s">
        <v>553</v>
      </c>
      <c r="BB249">
        <v>1688</v>
      </c>
      <c r="BC249" t="s">
        <v>554</v>
      </c>
      <c r="BD249">
        <v>1930</v>
      </c>
      <c r="BE249">
        <v>0</v>
      </c>
      <c r="BF249">
        <v>28.538322820000001</v>
      </c>
    </row>
    <row r="250" spans="1:58" x14ac:dyDescent="0.2">
      <c r="A250">
        <v>249</v>
      </c>
      <c r="B250" t="s">
        <v>297</v>
      </c>
      <c r="C250">
        <v>0</v>
      </c>
      <c r="H250" t="s">
        <v>297</v>
      </c>
      <c r="I250" t="s">
        <v>146</v>
      </c>
      <c r="Q250" t="s">
        <v>297</v>
      </c>
      <c r="R250">
        <v>964.16866900000002</v>
      </c>
      <c r="S250">
        <v>6</v>
      </c>
      <c r="T250">
        <v>130</v>
      </c>
      <c r="V250">
        <v>0</v>
      </c>
      <c r="W250">
        <v>0</v>
      </c>
      <c r="X250" t="s">
        <v>297</v>
      </c>
      <c r="Y250">
        <v>-1</v>
      </c>
      <c r="Z250">
        <v>6</v>
      </c>
      <c r="AA250">
        <v>964.17</v>
      </c>
      <c r="AB250">
        <v>130</v>
      </c>
      <c r="AC250">
        <v>7.72</v>
      </c>
      <c r="AD250">
        <v>0.09</v>
      </c>
      <c r="AE250">
        <v>0.01</v>
      </c>
      <c r="AF250">
        <v>0.01</v>
      </c>
      <c r="AG250">
        <v>1</v>
      </c>
      <c r="AH250">
        <v>7.72</v>
      </c>
      <c r="AI250">
        <v>7.72</v>
      </c>
      <c r="AJ250">
        <v>7.72</v>
      </c>
      <c r="AK250">
        <v>0.09</v>
      </c>
      <c r="AL250">
        <v>0.09</v>
      </c>
      <c r="AM250">
        <v>0.09</v>
      </c>
      <c r="AN250">
        <v>0.01</v>
      </c>
      <c r="AO250">
        <v>0.01</v>
      </c>
      <c r="AP250">
        <v>0.01</v>
      </c>
      <c r="AQ250">
        <v>964.16866900000002</v>
      </c>
      <c r="AR250">
        <v>0</v>
      </c>
      <c r="AS250">
        <v>249</v>
      </c>
      <c r="AT250">
        <v>1</v>
      </c>
      <c r="AU250">
        <v>249</v>
      </c>
      <c r="AV250">
        <v>6</v>
      </c>
      <c r="AW250" t="s">
        <v>876</v>
      </c>
      <c r="AX250" t="s">
        <v>45</v>
      </c>
      <c r="AY250" t="s">
        <v>501</v>
      </c>
      <c r="AZ250">
        <v>1519</v>
      </c>
      <c r="BA250" t="s">
        <v>877</v>
      </c>
      <c r="BB250">
        <v>887</v>
      </c>
      <c r="BC250" t="s">
        <v>542</v>
      </c>
      <c r="BD250">
        <v>1930</v>
      </c>
      <c r="BE250">
        <v>0</v>
      </c>
      <c r="BF250">
        <v>1.176434236</v>
      </c>
    </row>
    <row r="251" spans="1:58" x14ac:dyDescent="0.2">
      <c r="A251">
        <v>250</v>
      </c>
      <c r="B251" t="s">
        <v>298</v>
      </c>
      <c r="C251">
        <v>0</v>
      </c>
      <c r="H251" t="s">
        <v>298</v>
      </c>
      <c r="I251" t="s">
        <v>141</v>
      </c>
      <c r="Q251" t="s">
        <v>298</v>
      </c>
      <c r="R251">
        <v>341.4388884</v>
      </c>
      <c r="S251">
        <v>3</v>
      </c>
      <c r="T251">
        <v>130</v>
      </c>
      <c r="V251">
        <v>0</v>
      </c>
      <c r="W251">
        <v>0</v>
      </c>
      <c r="X251" t="s">
        <v>298</v>
      </c>
      <c r="Y251">
        <v>0</v>
      </c>
      <c r="Z251">
        <v>3</v>
      </c>
      <c r="AA251">
        <v>341.44</v>
      </c>
      <c r="AB251">
        <v>130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341.4388884</v>
      </c>
      <c r="AR251">
        <v>0</v>
      </c>
      <c r="AS251">
        <v>250</v>
      </c>
      <c r="AT251">
        <v>1</v>
      </c>
      <c r="AU251">
        <v>250</v>
      </c>
      <c r="AV251">
        <v>6</v>
      </c>
      <c r="AW251" t="s">
        <v>822</v>
      </c>
      <c r="AX251" t="s">
        <v>148</v>
      </c>
      <c r="AY251" t="s">
        <v>501</v>
      </c>
      <c r="AZ251">
        <v>953</v>
      </c>
      <c r="BA251" t="s">
        <v>821</v>
      </c>
      <c r="BB251">
        <v>902</v>
      </c>
      <c r="BC251" t="s">
        <v>823</v>
      </c>
      <c r="BD251">
        <v>1930</v>
      </c>
      <c r="BE251">
        <v>0</v>
      </c>
      <c r="BF251">
        <v>43.570787170000003</v>
      </c>
    </row>
    <row r="252" spans="1:58" x14ac:dyDescent="0.2">
      <c r="A252">
        <v>251</v>
      </c>
      <c r="B252" t="s">
        <v>299</v>
      </c>
      <c r="C252">
        <v>0</v>
      </c>
      <c r="H252" t="s">
        <v>299</v>
      </c>
      <c r="I252" t="s">
        <v>141</v>
      </c>
      <c r="Q252" t="s">
        <v>299</v>
      </c>
      <c r="R252">
        <v>42.477414520000004</v>
      </c>
      <c r="S252">
        <v>3</v>
      </c>
      <c r="T252">
        <v>130</v>
      </c>
      <c r="V252">
        <v>0</v>
      </c>
      <c r="W252">
        <v>0</v>
      </c>
      <c r="X252" t="s">
        <v>299</v>
      </c>
      <c r="Y252">
        <v>0</v>
      </c>
      <c r="Z252">
        <v>3</v>
      </c>
      <c r="AA252">
        <v>42.48</v>
      </c>
      <c r="AB252">
        <v>130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42.477414520000004</v>
      </c>
      <c r="AR252">
        <v>0</v>
      </c>
      <c r="AS252">
        <v>251</v>
      </c>
      <c r="AT252">
        <v>1</v>
      </c>
      <c r="AU252">
        <v>251</v>
      </c>
      <c r="AV252">
        <v>3</v>
      </c>
      <c r="AW252" t="s">
        <v>878</v>
      </c>
      <c r="AX252" t="s">
        <v>141</v>
      </c>
      <c r="AY252" t="s">
        <v>501</v>
      </c>
      <c r="AZ252">
        <v>902</v>
      </c>
      <c r="BA252" t="s">
        <v>823</v>
      </c>
      <c r="BB252">
        <v>903</v>
      </c>
      <c r="BC252" t="s">
        <v>879</v>
      </c>
      <c r="BD252">
        <v>1950</v>
      </c>
      <c r="BE252">
        <v>0</v>
      </c>
      <c r="BF252">
        <v>383.91642830000001</v>
      </c>
    </row>
    <row r="253" spans="1:58" x14ac:dyDescent="0.2">
      <c r="A253">
        <v>252</v>
      </c>
      <c r="B253" t="s">
        <v>300</v>
      </c>
      <c r="C253">
        <v>0</v>
      </c>
      <c r="H253" t="s">
        <v>300</v>
      </c>
      <c r="I253" t="s">
        <v>141</v>
      </c>
      <c r="Q253" t="s">
        <v>300</v>
      </c>
      <c r="R253">
        <v>34.797910790000003</v>
      </c>
      <c r="S253">
        <v>1.5</v>
      </c>
      <c r="T253">
        <v>130</v>
      </c>
      <c r="V253">
        <v>0</v>
      </c>
      <c r="W253">
        <v>0</v>
      </c>
      <c r="X253" t="s">
        <v>300</v>
      </c>
      <c r="Y253">
        <v>1</v>
      </c>
      <c r="Z253">
        <v>1.5</v>
      </c>
      <c r="AA253">
        <v>34.799999999999997</v>
      </c>
      <c r="AB253">
        <v>130</v>
      </c>
      <c r="AC253">
        <v>0.14000000000000001</v>
      </c>
      <c r="AD253">
        <v>0.03</v>
      </c>
      <c r="AE253">
        <v>0</v>
      </c>
      <c r="AF253">
        <v>0.01</v>
      </c>
      <c r="AG253">
        <v>1</v>
      </c>
      <c r="AH253">
        <v>0.14000000000000001</v>
      </c>
      <c r="AI253">
        <v>0.14000000000000001</v>
      </c>
      <c r="AJ253">
        <v>0.14000000000000001</v>
      </c>
      <c r="AK253">
        <v>0.03</v>
      </c>
      <c r="AL253">
        <v>0.03</v>
      </c>
      <c r="AM253">
        <v>0.03</v>
      </c>
      <c r="AN253">
        <v>0</v>
      </c>
      <c r="AO253">
        <v>0</v>
      </c>
      <c r="AP253">
        <v>0</v>
      </c>
      <c r="AQ253">
        <v>34.797910790000003</v>
      </c>
      <c r="AR253">
        <v>0</v>
      </c>
      <c r="AS253">
        <v>252</v>
      </c>
      <c r="AT253">
        <v>1</v>
      </c>
      <c r="AU253">
        <v>252</v>
      </c>
      <c r="AV253">
        <v>1.5</v>
      </c>
      <c r="AW253" t="s">
        <v>541</v>
      </c>
      <c r="AX253" t="s">
        <v>141</v>
      </c>
      <c r="AY253" t="s">
        <v>501</v>
      </c>
      <c r="AZ253">
        <v>887</v>
      </c>
      <c r="BA253" t="s">
        <v>542</v>
      </c>
      <c r="BB253">
        <v>888</v>
      </c>
      <c r="BC253" t="s">
        <v>543</v>
      </c>
      <c r="BD253">
        <v>1950</v>
      </c>
      <c r="BE253">
        <v>0</v>
      </c>
      <c r="BF253">
        <v>420.76297929999998</v>
      </c>
    </row>
    <row r="254" spans="1:58" x14ac:dyDescent="0.2">
      <c r="A254">
        <v>253</v>
      </c>
      <c r="B254" t="s">
        <v>301</v>
      </c>
      <c r="C254">
        <v>0</v>
      </c>
      <c r="H254" t="s">
        <v>301</v>
      </c>
      <c r="I254" t="s">
        <v>141</v>
      </c>
      <c r="Q254" t="s">
        <v>301</v>
      </c>
      <c r="R254">
        <v>339.34255530000001</v>
      </c>
      <c r="S254">
        <v>1.5</v>
      </c>
      <c r="T254">
        <v>130</v>
      </c>
      <c r="V254">
        <v>0</v>
      </c>
      <c r="W254">
        <v>0</v>
      </c>
      <c r="X254" t="s">
        <v>301</v>
      </c>
      <c r="Y254">
        <v>1</v>
      </c>
      <c r="Z254">
        <v>1.5</v>
      </c>
      <c r="AA254">
        <v>339.34</v>
      </c>
      <c r="AB254">
        <v>130</v>
      </c>
      <c r="AC254">
        <v>0.14000000000000001</v>
      </c>
      <c r="AD254">
        <v>0.03</v>
      </c>
      <c r="AE254">
        <v>0</v>
      </c>
      <c r="AF254">
        <v>0</v>
      </c>
      <c r="AG254">
        <v>1</v>
      </c>
      <c r="AH254">
        <v>0.14000000000000001</v>
      </c>
      <c r="AI254">
        <v>0.14000000000000001</v>
      </c>
      <c r="AJ254">
        <v>0.14000000000000001</v>
      </c>
      <c r="AK254">
        <v>0.03</v>
      </c>
      <c r="AL254">
        <v>0.03</v>
      </c>
      <c r="AM254">
        <v>0.03</v>
      </c>
      <c r="AN254">
        <v>0</v>
      </c>
      <c r="AO254">
        <v>0</v>
      </c>
      <c r="AP254">
        <v>0</v>
      </c>
      <c r="AQ254">
        <v>339.34255530000001</v>
      </c>
      <c r="AR254">
        <v>0</v>
      </c>
      <c r="AS254">
        <v>253</v>
      </c>
      <c r="AT254">
        <v>1</v>
      </c>
      <c r="AU254">
        <v>253</v>
      </c>
      <c r="AV254">
        <v>1.5</v>
      </c>
      <c r="AW254" t="s">
        <v>541</v>
      </c>
      <c r="AX254" t="s">
        <v>141</v>
      </c>
      <c r="AY254" t="s">
        <v>501</v>
      </c>
      <c r="AZ254">
        <v>887</v>
      </c>
      <c r="BA254" t="s">
        <v>542</v>
      </c>
      <c r="BB254">
        <v>888</v>
      </c>
      <c r="BC254" t="s">
        <v>543</v>
      </c>
      <c r="BD254">
        <v>1950</v>
      </c>
      <c r="BE254">
        <v>0</v>
      </c>
      <c r="BF254">
        <v>420.76297929999998</v>
      </c>
    </row>
    <row r="255" spans="1:58" x14ac:dyDescent="0.2">
      <c r="A255">
        <v>254</v>
      </c>
      <c r="B255" t="s">
        <v>302</v>
      </c>
      <c r="C255">
        <v>0</v>
      </c>
      <c r="H255" t="s">
        <v>302</v>
      </c>
      <c r="I255" t="s">
        <v>141</v>
      </c>
      <c r="Q255" t="s">
        <v>302</v>
      </c>
      <c r="R255">
        <v>91.161349770000001</v>
      </c>
      <c r="S255">
        <v>1.5</v>
      </c>
      <c r="T255">
        <v>130</v>
      </c>
      <c r="V255">
        <v>0</v>
      </c>
      <c r="W255">
        <v>0</v>
      </c>
      <c r="X255" t="s">
        <v>302</v>
      </c>
      <c r="Y255">
        <v>1</v>
      </c>
      <c r="Z255">
        <v>1.5</v>
      </c>
      <c r="AA255">
        <v>91.16</v>
      </c>
      <c r="AB255">
        <v>130</v>
      </c>
      <c r="AC255">
        <v>0.69</v>
      </c>
      <c r="AD255">
        <v>0.13</v>
      </c>
      <c r="AE255">
        <v>0.01</v>
      </c>
      <c r="AF255">
        <v>0.09</v>
      </c>
      <c r="AG255">
        <v>1</v>
      </c>
      <c r="AH255">
        <v>0.69</v>
      </c>
      <c r="AI255">
        <v>0.69</v>
      </c>
      <c r="AJ255">
        <v>0.69</v>
      </c>
      <c r="AK255">
        <v>0.13</v>
      </c>
      <c r="AL255">
        <v>0.13</v>
      </c>
      <c r="AM255">
        <v>0.13</v>
      </c>
      <c r="AN255">
        <v>0.01</v>
      </c>
      <c r="AO255">
        <v>0.01</v>
      </c>
      <c r="AP255">
        <v>0.01</v>
      </c>
      <c r="AQ255">
        <v>91.161349770000001</v>
      </c>
      <c r="AR255">
        <v>0</v>
      </c>
      <c r="AS255">
        <v>254</v>
      </c>
      <c r="AT255">
        <v>1</v>
      </c>
      <c r="AU255">
        <v>254</v>
      </c>
      <c r="AV255">
        <v>1.5</v>
      </c>
      <c r="AW255" t="s">
        <v>880</v>
      </c>
      <c r="AX255" t="s">
        <v>141</v>
      </c>
      <c r="AY255" t="s">
        <v>501</v>
      </c>
      <c r="AZ255">
        <v>894</v>
      </c>
      <c r="BA255" t="s">
        <v>581</v>
      </c>
      <c r="BB255">
        <v>1037</v>
      </c>
      <c r="BC255" t="s">
        <v>881</v>
      </c>
      <c r="BD255">
        <v>1950</v>
      </c>
      <c r="BE255">
        <v>0</v>
      </c>
      <c r="BF255">
        <v>1793.2197490000001</v>
      </c>
    </row>
    <row r="256" spans="1:58" x14ac:dyDescent="0.2">
      <c r="A256">
        <v>255</v>
      </c>
      <c r="B256" t="s">
        <v>303</v>
      </c>
      <c r="C256">
        <v>0</v>
      </c>
      <c r="H256" t="s">
        <v>303</v>
      </c>
      <c r="I256" t="s">
        <v>141</v>
      </c>
      <c r="Q256" t="s">
        <v>303</v>
      </c>
      <c r="R256">
        <v>1702.058368</v>
      </c>
      <c r="S256">
        <v>1.5</v>
      </c>
      <c r="T256">
        <v>130</v>
      </c>
      <c r="V256">
        <v>0</v>
      </c>
      <c r="W256">
        <v>0</v>
      </c>
      <c r="X256" t="s">
        <v>303</v>
      </c>
      <c r="Y256">
        <v>1</v>
      </c>
      <c r="Z256">
        <v>1.5</v>
      </c>
      <c r="AA256">
        <v>1702.06</v>
      </c>
      <c r="AB256">
        <v>130</v>
      </c>
      <c r="AC256">
        <v>0.69</v>
      </c>
      <c r="AD256">
        <v>0.13</v>
      </c>
      <c r="AE256">
        <v>0.15</v>
      </c>
      <c r="AF256">
        <v>0.09</v>
      </c>
      <c r="AG256">
        <v>1</v>
      </c>
      <c r="AH256">
        <v>0.69</v>
      </c>
      <c r="AI256">
        <v>0.69</v>
      </c>
      <c r="AJ256">
        <v>0.69</v>
      </c>
      <c r="AK256">
        <v>0.13</v>
      </c>
      <c r="AL256">
        <v>0.13</v>
      </c>
      <c r="AM256">
        <v>0.13</v>
      </c>
      <c r="AN256">
        <v>0.15</v>
      </c>
      <c r="AO256">
        <v>0.15</v>
      </c>
      <c r="AP256">
        <v>0.15</v>
      </c>
      <c r="AQ256">
        <v>1702.058368</v>
      </c>
      <c r="AR256">
        <v>0</v>
      </c>
      <c r="AS256">
        <v>255</v>
      </c>
      <c r="AT256">
        <v>1</v>
      </c>
      <c r="AU256">
        <v>255</v>
      </c>
      <c r="AV256">
        <v>1.5</v>
      </c>
      <c r="AW256" t="s">
        <v>880</v>
      </c>
      <c r="AX256" t="s">
        <v>141</v>
      </c>
      <c r="AY256" t="s">
        <v>501</v>
      </c>
      <c r="AZ256">
        <v>894</v>
      </c>
      <c r="BA256" t="s">
        <v>581</v>
      </c>
      <c r="BB256">
        <v>1037</v>
      </c>
      <c r="BC256" t="s">
        <v>881</v>
      </c>
      <c r="BD256">
        <v>1950</v>
      </c>
      <c r="BE256">
        <v>0</v>
      </c>
      <c r="BF256">
        <v>1793.2197490000001</v>
      </c>
    </row>
    <row r="257" spans="1:58" x14ac:dyDescent="0.2">
      <c r="A257">
        <v>256</v>
      </c>
      <c r="B257" t="s">
        <v>304</v>
      </c>
      <c r="C257">
        <v>0</v>
      </c>
      <c r="H257" t="s">
        <v>304</v>
      </c>
      <c r="I257" t="s">
        <v>146</v>
      </c>
      <c r="Q257" t="s">
        <v>304</v>
      </c>
      <c r="R257">
        <v>39.32279715</v>
      </c>
      <c r="S257">
        <v>6</v>
      </c>
      <c r="T257">
        <v>130</v>
      </c>
      <c r="V257">
        <v>0</v>
      </c>
      <c r="W257">
        <v>0</v>
      </c>
      <c r="X257" t="s">
        <v>304</v>
      </c>
      <c r="Y257">
        <v>0</v>
      </c>
      <c r="Z257">
        <v>6</v>
      </c>
      <c r="AA257">
        <v>39.32</v>
      </c>
      <c r="AB257">
        <v>130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39.32279715</v>
      </c>
      <c r="AR257">
        <v>0</v>
      </c>
      <c r="AS257">
        <v>256</v>
      </c>
      <c r="AT257">
        <v>1</v>
      </c>
      <c r="AU257">
        <v>256</v>
      </c>
      <c r="AV257">
        <v>6</v>
      </c>
      <c r="AW257" t="s">
        <v>882</v>
      </c>
      <c r="AX257" t="s">
        <v>146</v>
      </c>
      <c r="AY257" t="s">
        <v>501</v>
      </c>
      <c r="AZ257">
        <v>985</v>
      </c>
      <c r="BA257" t="s">
        <v>833</v>
      </c>
      <c r="BB257">
        <v>986</v>
      </c>
      <c r="BC257" t="s">
        <v>584</v>
      </c>
      <c r="BD257">
        <v>1980</v>
      </c>
      <c r="BE257">
        <v>0</v>
      </c>
      <c r="BF257">
        <v>992.5692603</v>
      </c>
    </row>
    <row r="258" spans="1:58" x14ac:dyDescent="0.2">
      <c r="A258">
        <v>257</v>
      </c>
      <c r="B258" t="s">
        <v>305</v>
      </c>
      <c r="C258">
        <v>0</v>
      </c>
      <c r="H258" t="s">
        <v>305</v>
      </c>
      <c r="I258" t="s">
        <v>146</v>
      </c>
      <c r="Q258" t="s">
        <v>305</v>
      </c>
      <c r="R258">
        <v>953.24641220000001</v>
      </c>
      <c r="S258">
        <v>6</v>
      </c>
      <c r="T258">
        <v>130</v>
      </c>
      <c r="V258">
        <v>0</v>
      </c>
      <c r="W258">
        <v>0</v>
      </c>
      <c r="X258" t="s">
        <v>305</v>
      </c>
      <c r="Y258">
        <v>0</v>
      </c>
      <c r="Z258">
        <v>6</v>
      </c>
      <c r="AA258">
        <v>953.25</v>
      </c>
      <c r="AB258">
        <v>130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953.24641220000001</v>
      </c>
      <c r="AR258">
        <v>0</v>
      </c>
      <c r="AS258">
        <v>257</v>
      </c>
      <c r="AT258">
        <v>1</v>
      </c>
      <c r="AU258">
        <v>257</v>
      </c>
      <c r="AV258">
        <v>6</v>
      </c>
      <c r="AW258" t="s">
        <v>582</v>
      </c>
      <c r="AX258" t="s">
        <v>45</v>
      </c>
      <c r="AY258" t="s">
        <v>501</v>
      </c>
      <c r="AZ258">
        <v>1533</v>
      </c>
      <c r="BA258" t="s">
        <v>583</v>
      </c>
      <c r="BB258">
        <v>986</v>
      </c>
      <c r="BC258" t="s">
        <v>584</v>
      </c>
      <c r="BD258">
        <v>1930</v>
      </c>
      <c r="BE258">
        <v>0</v>
      </c>
      <c r="BF258">
        <v>74.229914739999998</v>
      </c>
    </row>
    <row r="259" spans="1:58" x14ac:dyDescent="0.2">
      <c r="A259">
        <v>258</v>
      </c>
      <c r="B259" t="s">
        <v>306</v>
      </c>
      <c r="C259">
        <v>0</v>
      </c>
      <c r="H259" t="s">
        <v>306</v>
      </c>
      <c r="I259" t="s">
        <v>148</v>
      </c>
      <c r="Q259" t="s">
        <v>306</v>
      </c>
      <c r="R259">
        <v>30.705258449999999</v>
      </c>
      <c r="S259">
        <v>6</v>
      </c>
      <c r="T259">
        <v>130</v>
      </c>
      <c r="V259">
        <v>0</v>
      </c>
      <c r="W259">
        <v>0</v>
      </c>
      <c r="X259" t="s">
        <v>306</v>
      </c>
      <c r="Y259">
        <v>-1</v>
      </c>
      <c r="Z259">
        <v>6</v>
      </c>
      <c r="AA259">
        <v>30.71</v>
      </c>
      <c r="AB259">
        <v>130</v>
      </c>
      <c r="AC259">
        <v>12.33</v>
      </c>
      <c r="AD259">
        <v>0.14000000000000001</v>
      </c>
      <c r="AE259">
        <v>0</v>
      </c>
      <c r="AF259">
        <v>0.02</v>
      </c>
      <c r="AG259">
        <v>1</v>
      </c>
      <c r="AH259">
        <v>12.33</v>
      </c>
      <c r="AI259">
        <v>12.33</v>
      </c>
      <c r="AJ259">
        <v>12.33</v>
      </c>
      <c r="AK259">
        <v>0.14000000000000001</v>
      </c>
      <c r="AL259">
        <v>0.14000000000000001</v>
      </c>
      <c r="AM259">
        <v>0.14000000000000001</v>
      </c>
      <c r="AN259">
        <v>0</v>
      </c>
      <c r="AO259">
        <v>0</v>
      </c>
      <c r="AP259">
        <v>0</v>
      </c>
      <c r="AQ259">
        <v>30.705258449999999</v>
      </c>
      <c r="AR259">
        <v>1</v>
      </c>
      <c r="AS259">
        <v>258</v>
      </c>
      <c r="AT259">
        <v>1</v>
      </c>
      <c r="AU259">
        <v>258</v>
      </c>
      <c r="AV259">
        <v>6</v>
      </c>
      <c r="AW259" t="s">
        <v>883</v>
      </c>
      <c r="AX259" t="s">
        <v>148</v>
      </c>
      <c r="AY259" t="s">
        <v>501</v>
      </c>
      <c r="AZ259">
        <v>899</v>
      </c>
      <c r="BA259" t="s">
        <v>884</v>
      </c>
      <c r="BB259">
        <v>900</v>
      </c>
      <c r="BC259" t="s">
        <v>614</v>
      </c>
      <c r="BD259">
        <v>1930</v>
      </c>
      <c r="BE259">
        <v>1</v>
      </c>
      <c r="BF259">
        <v>403.07697610000002</v>
      </c>
    </row>
    <row r="260" spans="1:58" x14ac:dyDescent="0.2">
      <c r="A260">
        <v>259</v>
      </c>
      <c r="B260" t="s">
        <v>307</v>
      </c>
      <c r="C260">
        <v>0</v>
      </c>
      <c r="H260" t="s">
        <v>307</v>
      </c>
      <c r="I260" t="s">
        <v>148</v>
      </c>
      <c r="Q260" t="s">
        <v>307</v>
      </c>
      <c r="R260">
        <v>372.37186200000002</v>
      </c>
      <c r="S260">
        <v>6</v>
      </c>
      <c r="T260">
        <v>130</v>
      </c>
      <c r="V260">
        <v>0</v>
      </c>
      <c r="W260">
        <v>0</v>
      </c>
      <c r="X260" t="s">
        <v>307</v>
      </c>
      <c r="Y260">
        <v>-1</v>
      </c>
      <c r="Z260">
        <v>6</v>
      </c>
      <c r="AA260">
        <v>372.37</v>
      </c>
      <c r="AB260">
        <v>130</v>
      </c>
      <c r="AC260">
        <v>12.33</v>
      </c>
      <c r="AD260">
        <v>0.14000000000000001</v>
      </c>
      <c r="AE260">
        <v>0.01</v>
      </c>
      <c r="AF260">
        <v>0.02</v>
      </c>
      <c r="AG260">
        <v>1</v>
      </c>
      <c r="AH260">
        <v>12.33</v>
      </c>
      <c r="AI260">
        <v>12.33</v>
      </c>
      <c r="AJ260">
        <v>12.33</v>
      </c>
      <c r="AK260">
        <v>0.14000000000000001</v>
      </c>
      <c r="AL260">
        <v>0.14000000000000001</v>
      </c>
      <c r="AM260">
        <v>0.14000000000000001</v>
      </c>
      <c r="AN260">
        <v>0.01</v>
      </c>
      <c r="AO260">
        <v>0.01</v>
      </c>
      <c r="AP260">
        <v>0.01</v>
      </c>
      <c r="AQ260">
        <v>372.37186200000002</v>
      </c>
      <c r="AR260">
        <v>1</v>
      </c>
      <c r="AS260">
        <v>259</v>
      </c>
      <c r="AT260">
        <v>1</v>
      </c>
      <c r="AU260">
        <v>259</v>
      </c>
      <c r="AV260">
        <v>6</v>
      </c>
      <c r="AW260" t="s">
        <v>612</v>
      </c>
      <c r="AX260" t="s">
        <v>45</v>
      </c>
      <c r="AY260" t="s">
        <v>501</v>
      </c>
      <c r="AZ260">
        <v>1543</v>
      </c>
      <c r="BA260" t="s">
        <v>613</v>
      </c>
      <c r="BB260">
        <v>900</v>
      </c>
      <c r="BC260" t="s">
        <v>614</v>
      </c>
      <c r="BD260">
        <v>1930</v>
      </c>
      <c r="BE260">
        <v>0</v>
      </c>
      <c r="BF260">
        <v>46.751659549999999</v>
      </c>
    </row>
    <row r="261" spans="1:58" x14ac:dyDescent="0.2">
      <c r="A261">
        <v>260</v>
      </c>
      <c r="B261" t="s">
        <v>308</v>
      </c>
      <c r="C261">
        <v>0</v>
      </c>
      <c r="H261" t="s">
        <v>308</v>
      </c>
      <c r="I261" t="s">
        <v>146</v>
      </c>
      <c r="Q261" t="s">
        <v>308</v>
      </c>
      <c r="R261">
        <v>422.59503890000002</v>
      </c>
      <c r="S261">
        <v>2</v>
      </c>
      <c r="T261">
        <v>130</v>
      </c>
      <c r="V261">
        <v>0</v>
      </c>
      <c r="W261">
        <v>0</v>
      </c>
      <c r="X261" t="s">
        <v>308</v>
      </c>
      <c r="Y261">
        <v>0</v>
      </c>
      <c r="Z261">
        <v>2</v>
      </c>
      <c r="AA261">
        <v>422.6</v>
      </c>
      <c r="AB261">
        <v>130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422.59503890000002</v>
      </c>
      <c r="AR261">
        <v>0</v>
      </c>
      <c r="AS261">
        <v>260</v>
      </c>
      <c r="AT261">
        <v>1</v>
      </c>
      <c r="AU261">
        <v>260</v>
      </c>
      <c r="AV261">
        <v>6</v>
      </c>
      <c r="AW261" t="s">
        <v>885</v>
      </c>
      <c r="AX261" t="s">
        <v>146</v>
      </c>
      <c r="AY261" t="s">
        <v>501</v>
      </c>
      <c r="AZ261">
        <v>1682</v>
      </c>
      <c r="BA261" t="s">
        <v>536</v>
      </c>
      <c r="BB261">
        <v>905</v>
      </c>
      <c r="BC261" t="s">
        <v>532</v>
      </c>
      <c r="BD261">
        <v>1980</v>
      </c>
      <c r="BE261">
        <v>0</v>
      </c>
      <c r="BF261">
        <v>699.76826510000001</v>
      </c>
    </row>
    <row r="262" spans="1:58" x14ac:dyDescent="0.2">
      <c r="A262">
        <v>261</v>
      </c>
      <c r="B262" t="s">
        <v>309</v>
      </c>
      <c r="C262">
        <v>0</v>
      </c>
      <c r="H262" t="s">
        <v>309</v>
      </c>
      <c r="I262" t="s">
        <v>310</v>
      </c>
      <c r="Q262" t="s">
        <v>309</v>
      </c>
      <c r="R262">
        <v>25.228003210000001</v>
      </c>
      <c r="S262">
        <v>8</v>
      </c>
      <c r="T262">
        <v>130</v>
      </c>
      <c r="V262">
        <v>0</v>
      </c>
      <c r="W262">
        <v>0</v>
      </c>
      <c r="X262" t="s">
        <v>309</v>
      </c>
      <c r="Y262">
        <v>1</v>
      </c>
      <c r="Z262">
        <v>8</v>
      </c>
      <c r="AA262">
        <v>25.23</v>
      </c>
      <c r="AB262">
        <v>130</v>
      </c>
      <c r="AC262">
        <v>48.18</v>
      </c>
      <c r="AD262">
        <v>0.31</v>
      </c>
      <c r="AE262">
        <v>0</v>
      </c>
      <c r="AF262">
        <v>7.0000000000000007E-2</v>
      </c>
      <c r="AG262">
        <v>1</v>
      </c>
      <c r="AH262">
        <v>48.18</v>
      </c>
      <c r="AI262">
        <v>48.18</v>
      </c>
      <c r="AJ262">
        <v>48.18</v>
      </c>
      <c r="AK262">
        <v>0.31</v>
      </c>
      <c r="AL262">
        <v>0.31</v>
      </c>
      <c r="AM262">
        <v>0.31</v>
      </c>
      <c r="AN262">
        <v>0</v>
      </c>
      <c r="AO262">
        <v>0</v>
      </c>
      <c r="AP262">
        <v>0</v>
      </c>
      <c r="AQ262">
        <v>25.228003210000001</v>
      </c>
      <c r="AR262">
        <v>0</v>
      </c>
      <c r="AS262">
        <v>261</v>
      </c>
      <c r="AT262">
        <v>1</v>
      </c>
      <c r="AU262">
        <v>261</v>
      </c>
      <c r="AV262">
        <v>6</v>
      </c>
      <c r="AW262" t="s">
        <v>794</v>
      </c>
      <c r="AX262" t="s">
        <v>148</v>
      </c>
      <c r="AY262" t="s">
        <v>501</v>
      </c>
      <c r="AZ262">
        <v>1699</v>
      </c>
      <c r="BA262" t="s">
        <v>608</v>
      </c>
      <c r="BB262">
        <v>851</v>
      </c>
      <c r="BC262" t="s">
        <v>795</v>
      </c>
      <c r="BD262">
        <v>1930</v>
      </c>
      <c r="BE262">
        <v>1</v>
      </c>
      <c r="BF262">
        <v>80.440581730000005</v>
      </c>
    </row>
    <row r="263" spans="1:58" x14ac:dyDescent="0.2">
      <c r="A263">
        <v>262</v>
      </c>
      <c r="B263" t="s">
        <v>311</v>
      </c>
      <c r="C263">
        <v>0</v>
      </c>
      <c r="H263" t="s">
        <v>311</v>
      </c>
      <c r="Q263" t="s">
        <v>311</v>
      </c>
      <c r="R263">
        <v>180</v>
      </c>
      <c r="S263">
        <v>8</v>
      </c>
      <c r="T263">
        <v>130</v>
      </c>
      <c r="U263">
        <v>0</v>
      </c>
      <c r="V263">
        <v>0</v>
      </c>
      <c r="W263">
        <v>0</v>
      </c>
      <c r="X263" t="s">
        <v>311</v>
      </c>
      <c r="Y263">
        <v>-1</v>
      </c>
      <c r="Z263">
        <v>8</v>
      </c>
      <c r="AA263">
        <v>180</v>
      </c>
      <c r="AB263">
        <v>130</v>
      </c>
      <c r="AC263">
        <v>48.18</v>
      </c>
      <c r="AD263">
        <v>0.31</v>
      </c>
      <c r="AE263">
        <v>0.01</v>
      </c>
      <c r="AF263">
        <v>7.0000000000000007E-2</v>
      </c>
      <c r="AG263">
        <v>1</v>
      </c>
      <c r="AH263">
        <v>48.18</v>
      </c>
      <c r="AI263">
        <v>48.18</v>
      </c>
      <c r="AJ263">
        <v>48.18</v>
      </c>
      <c r="AK263">
        <v>0.31</v>
      </c>
      <c r="AL263">
        <v>0.31</v>
      </c>
      <c r="AM263">
        <v>0.31</v>
      </c>
      <c r="AN263">
        <v>0.01</v>
      </c>
      <c r="AO263">
        <v>0.01</v>
      </c>
      <c r="AP263">
        <v>0.01</v>
      </c>
      <c r="AQ263">
        <v>170.8754544</v>
      </c>
      <c r="AR263">
        <v>0</v>
      </c>
      <c r="AS263">
        <v>262</v>
      </c>
      <c r="AT263">
        <v>1</v>
      </c>
      <c r="AU263">
        <v>262</v>
      </c>
      <c r="AV263">
        <v>8</v>
      </c>
      <c r="AW263" t="s">
        <v>886</v>
      </c>
      <c r="AX263" t="s">
        <v>310</v>
      </c>
      <c r="AY263" t="s">
        <v>501</v>
      </c>
      <c r="AZ263">
        <v>851</v>
      </c>
      <c r="BA263" t="s">
        <v>795</v>
      </c>
      <c r="BB263">
        <v>1182</v>
      </c>
      <c r="BC263" t="s">
        <v>887</v>
      </c>
      <c r="BD263">
        <v>1930</v>
      </c>
      <c r="BE263">
        <v>0</v>
      </c>
      <c r="BF263">
        <v>170.3891826</v>
      </c>
    </row>
    <row r="264" spans="1:58" x14ac:dyDescent="0.2">
      <c r="A264">
        <v>263</v>
      </c>
      <c r="B264" t="s">
        <v>312</v>
      </c>
      <c r="C264">
        <v>0</v>
      </c>
      <c r="H264" t="s">
        <v>312</v>
      </c>
      <c r="I264" t="s">
        <v>148</v>
      </c>
      <c r="Q264" t="s">
        <v>312</v>
      </c>
      <c r="R264">
        <v>125.4573384</v>
      </c>
      <c r="S264">
        <v>6</v>
      </c>
      <c r="T264">
        <v>130</v>
      </c>
      <c r="V264">
        <v>0</v>
      </c>
      <c r="W264">
        <v>0</v>
      </c>
      <c r="X264" t="s">
        <v>312</v>
      </c>
      <c r="Y264">
        <v>0</v>
      </c>
      <c r="Z264">
        <v>6</v>
      </c>
      <c r="AA264">
        <v>125.46</v>
      </c>
      <c r="AB264">
        <v>130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125.4573384</v>
      </c>
      <c r="AR264">
        <v>0</v>
      </c>
      <c r="AS264">
        <v>263</v>
      </c>
      <c r="AT264">
        <v>1</v>
      </c>
      <c r="AU264">
        <v>263</v>
      </c>
      <c r="AV264">
        <v>6</v>
      </c>
      <c r="AW264" t="s">
        <v>888</v>
      </c>
      <c r="AX264" t="s">
        <v>148</v>
      </c>
      <c r="AY264" t="s">
        <v>501</v>
      </c>
      <c r="AZ264">
        <v>843</v>
      </c>
      <c r="BA264" t="s">
        <v>792</v>
      </c>
      <c r="BB264">
        <v>844</v>
      </c>
      <c r="BC264" t="s">
        <v>889</v>
      </c>
      <c r="BD264">
        <v>1930</v>
      </c>
      <c r="BE264">
        <v>0</v>
      </c>
      <c r="BF264">
        <v>125.457319</v>
      </c>
    </row>
    <row r="265" spans="1:58" x14ac:dyDescent="0.2">
      <c r="A265">
        <v>264</v>
      </c>
      <c r="B265" t="s">
        <v>313</v>
      </c>
      <c r="C265">
        <v>0</v>
      </c>
      <c r="H265" t="s">
        <v>313</v>
      </c>
      <c r="I265" t="s">
        <v>45</v>
      </c>
      <c r="Q265" t="s">
        <v>313</v>
      </c>
      <c r="R265">
        <v>172.4636964</v>
      </c>
      <c r="S265">
        <v>8</v>
      </c>
      <c r="T265">
        <v>130</v>
      </c>
      <c r="V265">
        <v>0</v>
      </c>
      <c r="W265">
        <v>0</v>
      </c>
      <c r="X265" t="s">
        <v>313</v>
      </c>
      <c r="Y265">
        <v>0</v>
      </c>
      <c r="Z265">
        <v>8</v>
      </c>
      <c r="AA265">
        <v>172.46</v>
      </c>
      <c r="AB265">
        <v>130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172.4636964</v>
      </c>
      <c r="AR265">
        <v>0</v>
      </c>
      <c r="AS265">
        <v>264</v>
      </c>
      <c r="AT265">
        <v>1</v>
      </c>
      <c r="AU265">
        <v>264</v>
      </c>
      <c r="AV265">
        <v>8</v>
      </c>
      <c r="AW265" t="s">
        <v>639</v>
      </c>
      <c r="AX265" t="s">
        <v>158</v>
      </c>
      <c r="AY265" t="s">
        <v>501</v>
      </c>
      <c r="AZ265">
        <v>849</v>
      </c>
      <c r="BA265" t="s">
        <v>640</v>
      </c>
      <c r="BB265">
        <v>1707</v>
      </c>
      <c r="BC265" t="s">
        <v>641</v>
      </c>
      <c r="BD265">
        <v>1950</v>
      </c>
      <c r="BE265">
        <v>1</v>
      </c>
      <c r="BF265">
        <v>1199.7648790000001</v>
      </c>
    </row>
    <row r="266" spans="1:58" x14ac:dyDescent="0.2">
      <c r="A266">
        <v>265</v>
      </c>
      <c r="B266" t="s">
        <v>314</v>
      </c>
      <c r="C266">
        <v>0</v>
      </c>
      <c r="H266" t="s">
        <v>314</v>
      </c>
      <c r="I266" t="s">
        <v>45</v>
      </c>
      <c r="Q266" t="s">
        <v>314</v>
      </c>
      <c r="R266">
        <v>135.56561360000001</v>
      </c>
      <c r="S266">
        <v>6</v>
      </c>
      <c r="T266">
        <v>130</v>
      </c>
      <c r="V266">
        <v>0</v>
      </c>
      <c r="W266">
        <v>0</v>
      </c>
      <c r="X266" t="s">
        <v>314</v>
      </c>
      <c r="Y266">
        <v>0</v>
      </c>
      <c r="Z266">
        <v>6</v>
      </c>
      <c r="AA266">
        <v>135.57</v>
      </c>
      <c r="AB266">
        <v>130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135.56561360000001</v>
      </c>
      <c r="AR266">
        <v>0</v>
      </c>
      <c r="AS266">
        <v>265</v>
      </c>
      <c r="AT266">
        <v>1</v>
      </c>
      <c r="AU266">
        <v>265</v>
      </c>
      <c r="AV266">
        <v>6</v>
      </c>
      <c r="AW266" t="s">
        <v>890</v>
      </c>
      <c r="AX266" t="s">
        <v>45</v>
      </c>
      <c r="AY266" t="s">
        <v>501</v>
      </c>
      <c r="AZ266">
        <v>846</v>
      </c>
      <c r="BA266" t="s">
        <v>626</v>
      </c>
      <c r="BB266">
        <v>847</v>
      </c>
      <c r="BC266" t="s">
        <v>891</v>
      </c>
      <c r="BD266">
        <v>1950</v>
      </c>
      <c r="BE266">
        <v>0</v>
      </c>
      <c r="BF266">
        <v>135.56572389999999</v>
      </c>
    </row>
    <row r="267" spans="1:58" x14ac:dyDescent="0.2">
      <c r="A267">
        <v>266</v>
      </c>
      <c r="B267" t="s">
        <v>315</v>
      </c>
      <c r="C267">
        <v>0</v>
      </c>
      <c r="H267" t="s">
        <v>315</v>
      </c>
      <c r="I267" t="s">
        <v>158</v>
      </c>
      <c r="Q267" t="s">
        <v>315</v>
      </c>
      <c r="R267">
        <v>39.561407109999998</v>
      </c>
      <c r="S267">
        <v>6</v>
      </c>
      <c r="T267">
        <v>130</v>
      </c>
      <c r="V267">
        <v>0</v>
      </c>
      <c r="W267">
        <v>0</v>
      </c>
      <c r="X267" t="s">
        <v>315</v>
      </c>
      <c r="Y267">
        <v>1</v>
      </c>
      <c r="Z267">
        <v>6</v>
      </c>
      <c r="AA267">
        <v>39.56</v>
      </c>
      <c r="AB267">
        <v>130</v>
      </c>
      <c r="AC267">
        <v>1.1100000000000001</v>
      </c>
      <c r="AD267">
        <v>0.01</v>
      </c>
      <c r="AE267">
        <v>0</v>
      </c>
      <c r="AF267">
        <v>0</v>
      </c>
      <c r="AG267">
        <v>1</v>
      </c>
      <c r="AH267">
        <v>1.1100000000000001</v>
      </c>
      <c r="AI267">
        <v>1.1100000000000001</v>
      </c>
      <c r="AJ267">
        <v>1.1100000000000001</v>
      </c>
      <c r="AK267">
        <v>0.01</v>
      </c>
      <c r="AL267">
        <v>0.01</v>
      </c>
      <c r="AM267">
        <v>0.01</v>
      </c>
      <c r="AN267">
        <v>0</v>
      </c>
      <c r="AO267">
        <v>0</v>
      </c>
      <c r="AP267">
        <v>0</v>
      </c>
      <c r="AQ267">
        <v>39.561407109999998</v>
      </c>
      <c r="AR267">
        <v>0</v>
      </c>
      <c r="AS267">
        <v>266</v>
      </c>
      <c r="AT267">
        <v>1</v>
      </c>
      <c r="AU267">
        <v>266</v>
      </c>
      <c r="AV267">
        <v>6</v>
      </c>
      <c r="AW267" t="s">
        <v>892</v>
      </c>
      <c r="AX267" t="s">
        <v>45</v>
      </c>
      <c r="AY267" t="s">
        <v>501</v>
      </c>
      <c r="AZ267">
        <v>1007</v>
      </c>
      <c r="BA267" t="s">
        <v>706</v>
      </c>
      <c r="BB267">
        <v>45205</v>
      </c>
      <c r="BC267" t="s">
        <v>893</v>
      </c>
      <c r="BD267">
        <v>1980</v>
      </c>
      <c r="BE267">
        <v>1</v>
      </c>
      <c r="BF267">
        <v>41.884620630000001</v>
      </c>
    </row>
    <row r="268" spans="1:58" x14ac:dyDescent="0.2">
      <c r="A268">
        <v>267</v>
      </c>
      <c r="B268" t="s">
        <v>316</v>
      </c>
      <c r="C268">
        <v>0</v>
      </c>
      <c r="H268" t="s">
        <v>316</v>
      </c>
      <c r="I268" t="s">
        <v>158</v>
      </c>
      <c r="Q268" t="s">
        <v>316</v>
      </c>
      <c r="R268">
        <v>373.1850341</v>
      </c>
      <c r="S268">
        <v>6</v>
      </c>
      <c r="T268">
        <v>130</v>
      </c>
      <c r="V268">
        <v>0</v>
      </c>
      <c r="W268">
        <v>0</v>
      </c>
      <c r="X268" t="s">
        <v>316</v>
      </c>
      <c r="Y268">
        <v>1</v>
      </c>
      <c r="Z268">
        <v>6</v>
      </c>
      <c r="AA268">
        <v>373.19</v>
      </c>
      <c r="AB268">
        <v>130</v>
      </c>
      <c r="AC268">
        <v>1.1100000000000001</v>
      </c>
      <c r="AD268">
        <v>0.01</v>
      </c>
      <c r="AE268">
        <v>0</v>
      </c>
      <c r="AF268">
        <v>0</v>
      </c>
      <c r="AG268">
        <v>1</v>
      </c>
      <c r="AH268">
        <v>1.1100000000000001</v>
      </c>
      <c r="AI268">
        <v>1.1100000000000001</v>
      </c>
      <c r="AJ268">
        <v>1.1100000000000001</v>
      </c>
      <c r="AK268">
        <v>0.01</v>
      </c>
      <c r="AL268">
        <v>0.01</v>
      </c>
      <c r="AM268">
        <v>0.01</v>
      </c>
      <c r="AN268">
        <v>0</v>
      </c>
      <c r="AO268">
        <v>0</v>
      </c>
      <c r="AP268">
        <v>0</v>
      </c>
      <c r="AQ268">
        <v>373.1850341</v>
      </c>
      <c r="AR268">
        <v>0</v>
      </c>
      <c r="AS268">
        <v>267</v>
      </c>
      <c r="AT268">
        <v>1</v>
      </c>
      <c r="AU268">
        <v>267</v>
      </c>
      <c r="AV268">
        <v>6</v>
      </c>
      <c r="AW268" t="s">
        <v>894</v>
      </c>
      <c r="AX268" t="s">
        <v>45</v>
      </c>
      <c r="AY268" t="s">
        <v>501</v>
      </c>
      <c r="AZ268">
        <v>1579</v>
      </c>
      <c r="BA268" t="s">
        <v>895</v>
      </c>
      <c r="BB268">
        <v>1733</v>
      </c>
      <c r="BC268" t="s">
        <v>703</v>
      </c>
      <c r="BD268">
        <v>2000</v>
      </c>
      <c r="BE268">
        <v>0</v>
      </c>
      <c r="BF268">
        <v>420.82649930000002</v>
      </c>
    </row>
    <row r="269" spans="1:58" x14ac:dyDescent="0.2">
      <c r="A269">
        <v>268</v>
      </c>
      <c r="B269" t="s">
        <v>317</v>
      </c>
      <c r="C269">
        <v>0</v>
      </c>
      <c r="H269" t="s">
        <v>317</v>
      </c>
      <c r="I269" t="s">
        <v>158</v>
      </c>
      <c r="Q269" t="s">
        <v>317</v>
      </c>
      <c r="R269">
        <v>214.50755150000001</v>
      </c>
      <c r="S269">
        <v>6</v>
      </c>
      <c r="T269">
        <v>130</v>
      </c>
      <c r="V269">
        <v>0</v>
      </c>
      <c r="W269">
        <v>0</v>
      </c>
      <c r="X269" t="s">
        <v>317</v>
      </c>
      <c r="Y269">
        <v>1</v>
      </c>
      <c r="Z269">
        <v>6</v>
      </c>
      <c r="AA269">
        <v>214.51</v>
      </c>
      <c r="AB269">
        <v>130</v>
      </c>
      <c r="AC269">
        <v>0.14000000000000001</v>
      </c>
      <c r="AD269">
        <v>0</v>
      </c>
      <c r="AE269">
        <v>0</v>
      </c>
      <c r="AF269">
        <v>0</v>
      </c>
      <c r="AG269">
        <v>1</v>
      </c>
      <c r="AH269">
        <v>0.14000000000000001</v>
      </c>
      <c r="AI269">
        <v>0.14000000000000001</v>
      </c>
      <c r="AJ269">
        <v>0.14000000000000001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214.50755150000001</v>
      </c>
      <c r="AR269">
        <v>0</v>
      </c>
      <c r="AS269">
        <v>268</v>
      </c>
      <c r="AT269">
        <v>1</v>
      </c>
      <c r="AU269">
        <v>268</v>
      </c>
      <c r="AV269">
        <v>6</v>
      </c>
      <c r="AW269" t="s">
        <v>702</v>
      </c>
      <c r="AX269" t="s">
        <v>158</v>
      </c>
      <c r="AY269" t="s">
        <v>501</v>
      </c>
      <c r="AZ269">
        <v>1733</v>
      </c>
      <c r="BA269" t="s">
        <v>703</v>
      </c>
      <c r="BB269">
        <v>1732</v>
      </c>
      <c r="BC269" t="s">
        <v>704</v>
      </c>
      <c r="BD269">
        <v>1950</v>
      </c>
      <c r="BE269">
        <v>0</v>
      </c>
      <c r="BF269">
        <v>214.5078134</v>
      </c>
    </row>
    <row r="270" spans="1:58" x14ac:dyDescent="0.2">
      <c r="A270">
        <v>269</v>
      </c>
      <c r="B270" t="s">
        <v>318</v>
      </c>
      <c r="C270">
        <v>0</v>
      </c>
      <c r="H270" t="s">
        <v>318</v>
      </c>
      <c r="I270" t="s">
        <v>158</v>
      </c>
      <c r="Q270" t="s">
        <v>318</v>
      </c>
      <c r="R270">
        <v>493.64195910000001</v>
      </c>
      <c r="S270">
        <v>6</v>
      </c>
      <c r="T270">
        <v>130</v>
      </c>
      <c r="V270">
        <v>0</v>
      </c>
      <c r="W270">
        <v>0</v>
      </c>
      <c r="X270" t="s">
        <v>318</v>
      </c>
      <c r="Y270">
        <v>0</v>
      </c>
      <c r="Z270">
        <v>6</v>
      </c>
      <c r="AA270">
        <v>493.64</v>
      </c>
      <c r="AB270">
        <v>130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493.64195910000001</v>
      </c>
      <c r="AR270">
        <v>0</v>
      </c>
      <c r="AS270">
        <v>269</v>
      </c>
      <c r="AT270">
        <v>1</v>
      </c>
      <c r="AU270">
        <v>269</v>
      </c>
      <c r="AV270">
        <v>6</v>
      </c>
      <c r="AW270" t="s">
        <v>896</v>
      </c>
      <c r="AX270" t="s">
        <v>45</v>
      </c>
      <c r="AY270" t="s">
        <v>501</v>
      </c>
      <c r="AZ270">
        <v>1578</v>
      </c>
      <c r="BA270" t="s">
        <v>897</v>
      </c>
      <c r="BB270">
        <v>1732</v>
      </c>
      <c r="BC270" t="s">
        <v>704</v>
      </c>
      <c r="BD270">
        <v>2000</v>
      </c>
      <c r="BE270">
        <v>0</v>
      </c>
      <c r="BF270">
        <v>51.318827140000003</v>
      </c>
    </row>
    <row r="271" spans="1:58" x14ac:dyDescent="0.2">
      <c r="A271">
        <v>270</v>
      </c>
      <c r="B271" t="s">
        <v>319</v>
      </c>
      <c r="C271">
        <v>0</v>
      </c>
      <c r="H271" t="s">
        <v>319</v>
      </c>
      <c r="I271" t="s">
        <v>45</v>
      </c>
      <c r="Q271" t="s">
        <v>319</v>
      </c>
      <c r="R271">
        <v>887.94721070000003</v>
      </c>
      <c r="S271">
        <v>6</v>
      </c>
      <c r="T271">
        <v>130</v>
      </c>
      <c r="V271">
        <v>0</v>
      </c>
      <c r="W271">
        <v>0</v>
      </c>
      <c r="X271" t="s">
        <v>319</v>
      </c>
      <c r="Y271">
        <v>1</v>
      </c>
      <c r="Z271">
        <v>6</v>
      </c>
      <c r="AA271">
        <v>887.95</v>
      </c>
      <c r="AB271">
        <v>130</v>
      </c>
      <c r="AC271">
        <v>1.25</v>
      </c>
      <c r="AD271">
        <v>0.01</v>
      </c>
      <c r="AE271">
        <v>0</v>
      </c>
      <c r="AF271">
        <v>0</v>
      </c>
      <c r="AG271">
        <v>1</v>
      </c>
      <c r="AH271">
        <v>1.25</v>
      </c>
      <c r="AI271">
        <v>1.25</v>
      </c>
      <c r="AJ271">
        <v>1.25</v>
      </c>
      <c r="AK271">
        <v>0.01</v>
      </c>
      <c r="AL271">
        <v>0.01</v>
      </c>
      <c r="AM271">
        <v>0.01</v>
      </c>
      <c r="AN271">
        <v>0</v>
      </c>
      <c r="AO271">
        <v>0</v>
      </c>
      <c r="AP271">
        <v>0</v>
      </c>
      <c r="AQ271">
        <v>887.94721070000003</v>
      </c>
      <c r="AR271">
        <v>0</v>
      </c>
      <c r="AS271">
        <v>270</v>
      </c>
      <c r="AT271">
        <v>1</v>
      </c>
      <c r="AU271">
        <v>270</v>
      </c>
      <c r="AV271">
        <v>6</v>
      </c>
      <c r="AW271" t="s">
        <v>528</v>
      </c>
      <c r="AX271" t="s">
        <v>45</v>
      </c>
      <c r="AY271" t="s">
        <v>501</v>
      </c>
      <c r="AZ271">
        <v>1514</v>
      </c>
      <c r="BA271" t="s">
        <v>529</v>
      </c>
      <c r="BB271">
        <v>944</v>
      </c>
      <c r="BC271" t="s">
        <v>530</v>
      </c>
      <c r="BD271">
        <v>1930</v>
      </c>
      <c r="BE271">
        <v>0</v>
      </c>
      <c r="BF271">
        <v>14.144113109999999</v>
      </c>
    </row>
    <row r="272" spans="1:58" x14ac:dyDescent="0.2">
      <c r="A272">
        <v>271</v>
      </c>
      <c r="B272" t="s">
        <v>320</v>
      </c>
      <c r="C272">
        <v>0</v>
      </c>
      <c r="H272" t="s">
        <v>320</v>
      </c>
      <c r="I272" t="s">
        <v>45</v>
      </c>
      <c r="Q272" t="s">
        <v>320</v>
      </c>
      <c r="R272">
        <v>58.095932589999997</v>
      </c>
      <c r="S272">
        <v>6</v>
      </c>
      <c r="T272">
        <v>130</v>
      </c>
      <c r="V272">
        <v>0</v>
      </c>
      <c r="W272">
        <v>0</v>
      </c>
      <c r="X272" t="s">
        <v>320</v>
      </c>
      <c r="Y272">
        <v>1</v>
      </c>
      <c r="Z272">
        <v>6</v>
      </c>
      <c r="AA272">
        <v>58.1</v>
      </c>
      <c r="AB272">
        <v>130</v>
      </c>
      <c r="AC272">
        <v>2.78</v>
      </c>
      <c r="AD272">
        <v>0.03</v>
      </c>
      <c r="AE272">
        <v>0</v>
      </c>
      <c r="AF272">
        <v>0</v>
      </c>
      <c r="AG272">
        <v>1</v>
      </c>
      <c r="AH272">
        <v>2.78</v>
      </c>
      <c r="AI272">
        <v>2.78</v>
      </c>
      <c r="AJ272">
        <v>2.78</v>
      </c>
      <c r="AK272">
        <v>0.03</v>
      </c>
      <c r="AL272">
        <v>0.03</v>
      </c>
      <c r="AM272">
        <v>0.03</v>
      </c>
      <c r="AN272">
        <v>0</v>
      </c>
      <c r="AO272">
        <v>0</v>
      </c>
      <c r="AP272">
        <v>0</v>
      </c>
      <c r="AQ272">
        <v>58.095932589999997</v>
      </c>
      <c r="AR272">
        <v>0</v>
      </c>
      <c r="AS272">
        <v>271</v>
      </c>
      <c r="AT272">
        <v>1</v>
      </c>
      <c r="AU272">
        <v>271</v>
      </c>
      <c r="AV272">
        <v>6</v>
      </c>
      <c r="AW272" t="s">
        <v>539</v>
      </c>
      <c r="AX272" t="s">
        <v>45</v>
      </c>
      <c r="AY272" t="s">
        <v>501</v>
      </c>
      <c r="AZ272">
        <v>1041</v>
      </c>
      <c r="BA272" t="s">
        <v>535</v>
      </c>
      <c r="BB272">
        <v>1684</v>
      </c>
      <c r="BC272" t="s">
        <v>540</v>
      </c>
      <c r="BD272">
        <v>1950</v>
      </c>
      <c r="BE272">
        <v>0</v>
      </c>
      <c r="BF272">
        <v>399.34749679999999</v>
      </c>
    </row>
    <row r="273" spans="1:58" x14ac:dyDescent="0.2">
      <c r="A273">
        <v>272</v>
      </c>
      <c r="B273" t="s">
        <v>321</v>
      </c>
      <c r="C273">
        <v>0</v>
      </c>
      <c r="H273" t="s">
        <v>321</v>
      </c>
      <c r="I273" t="s">
        <v>45</v>
      </c>
      <c r="Q273" t="s">
        <v>321</v>
      </c>
      <c r="R273">
        <v>334.68279039999999</v>
      </c>
      <c r="S273">
        <v>6</v>
      </c>
      <c r="T273">
        <v>130</v>
      </c>
      <c r="V273">
        <v>0</v>
      </c>
      <c r="W273">
        <v>0</v>
      </c>
      <c r="X273" t="s">
        <v>321</v>
      </c>
      <c r="Y273">
        <v>1</v>
      </c>
      <c r="Z273">
        <v>6</v>
      </c>
      <c r="AA273">
        <v>334.68</v>
      </c>
      <c r="AB273">
        <v>130</v>
      </c>
      <c r="AC273">
        <v>2.78</v>
      </c>
      <c r="AD273">
        <v>0.03</v>
      </c>
      <c r="AE273">
        <v>0</v>
      </c>
      <c r="AF273">
        <v>0</v>
      </c>
      <c r="AG273">
        <v>1</v>
      </c>
      <c r="AH273">
        <v>2.78</v>
      </c>
      <c r="AI273">
        <v>2.78</v>
      </c>
      <c r="AJ273">
        <v>2.78</v>
      </c>
      <c r="AK273">
        <v>0.03</v>
      </c>
      <c r="AL273">
        <v>0.03</v>
      </c>
      <c r="AM273">
        <v>0.03</v>
      </c>
      <c r="AN273">
        <v>0</v>
      </c>
      <c r="AO273">
        <v>0</v>
      </c>
      <c r="AP273">
        <v>0</v>
      </c>
      <c r="AQ273">
        <v>334.68279039999999</v>
      </c>
      <c r="AR273">
        <v>0</v>
      </c>
      <c r="AS273">
        <v>272</v>
      </c>
      <c r="AT273">
        <v>1</v>
      </c>
      <c r="AU273">
        <v>272</v>
      </c>
      <c r="AV273">
        <v>6</v>
      </c>
      <c r="AW273" t="s">
        <v>539</v>
      </c>
      <c r="AX273" t="s">
        <v>45</v>
      </c>
      <c r="AY273" t="s">
        <v>501</v>
      </c>
      <c r="AZ273">
        <v>1041</v>
      </c>
      <c r="BA273" t="s">
        <v>535</v>
      </c>
      <c r="BB273">
        <v>1684</v>
      </c>
      <c r="BC273" t="s">
        <v>540</v>
      </c>
      <c r="BD273">
        <v>1950</v>
      </c>
      <c r="BE273">
        <v>0</v>
      </c>
      <c r="BF273">
        <v>399.34749679999999</v>
      </c>
    </row>
    <row r="274" spans="1:58" x14ac:dyDescent="0.2">
      <c r="A274">
        <v>273</v>
      </c>
      <c r="B274" t="s">
        <v>322</v>
      </c>
      <c r="C274">
        <v>0</v>
      </c>
      <c r="H274" t="s">
        <v>322</v>
      </c>
      <c r="I274" t="s">
        <v>45</v>
      </c>
      <c r="Q274" t="s">
        <v>322</v>
      </c>
      <c r="R274">
        <v>129.4034125</v>
      </c>
      <c r="S274">
        <v>6</v>
      </c>
      <c r="T274">
        <v>130</v>
      </c>
      <c r="V274">
        <v>0</v>
      </c>
      <c r="W274">
        <v>0</v>
      </c>
      <c r="X274" t="s">
        <v>322</v>
      </c>
      <c r="Y274">
        <v>0</v>
      </c>
      <c r="Z274">
        <v>6</v>
      </c>
      <c r="AA274">
        <v>129.4</v>
      </c>
      <c r="AB274">
        <v>130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129.4034125</v>
      </c>
      <c r="AR274">
        <v>0</v>
      </c>
      <c r="AS274">
        <v>273</v>
      </c>
      <c r="AT274">
        <v>1</v>
      </c>
      <c r="AU274">
        <v>273</v>
      </c>
      <c r="AV274">
        <v>6</v>
      </c>
      <c r="AW274" t="s">
        <v>898</v>
      </c>
      <c r="AX274" t="s">
        <v>45</v>
      </c>
      <c r="AY274" t="s">
        <v>501</v>
      </c>
      <c r="AZ274">
        <v>1518</v>
      </c>
      <c r="BA274" t="s">
        <v>899</v>
      </c>
      <c r="BB274">
        <v>1684</v>
      </c>
      <c r="BC274" t="s">
        <v>540</v>
      </c>
      <c r="BD274">
        <v>1930</v>
      </c>
      <c r="BE274">
        <v>0</v>
      </c>
      <c r="BF274">
        <v>32.473370279999997</v>
      </c>
    </row>
    <row r="275" spans="1:58" x14ac:dyDescent="0.2">
      <c r="A275">
        <v>274</v>
      </c>
      <c r="B275" t="s">
        <v>323</v>
      </c>
      <c r="C275">
        <v>0</v>
      </c>
      <c r="H275" t="s">
        <v>323</v>
      </c>
      <c r="I275" t="s">
        <v>45</v>
      </c>
      <c r="Q275" t="s">
        <v>323</v>
      </c>
      <c r="R275">
        <v>246.05344669999999</v>
      </c>
      <c r="S275">
        <v>6</v>
      </c>
      <c r="T275">
        <v>130</v>
      </c>
      <c r="V275">
        <v>0</v>
      </c>
      <c r="W275">
        <v>0</v>
      </c>
      <c r="X275" t="s">
        <v>323</v>
      </c>
      <c r="Y275">
        <v>1</v>
      </c>
      <c r="Z275">
        <v>6</v>
      </c>
      <c r="AA275">
        <v>246.05</v>
      </c>
      <c r="AB275">
        <v>130</v>
      </c>
      <c r="AC275">
        <v>0.14000000000000001</v>
      </c>
      <c r="AD275">
        <v>0</v>
      </c>
      <c r="AE275">
        <v>0</v>
      </c>
      <c r="AF275">
        <v>0</v>
      </c>
      <c r="AG275">
        <v>1</v>
      </c>
      <c r="AH275">
        <v>0.14000000000000001</v>
      </c>
      <c r="AI275">
        <v>0.14000000000000001</v>
      </c>
      <c r="AJ275">
        <v>0.14000000000000001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246.05344669999999</v>
      </c>
      <c r="AR275">
        <v>0</v>
      </c>
      <c r="AS275">
        <v>274</v>
      </c>
      <c r="AT275">
        <v>1</v>
      </c>
      <c r="AU275">
        <v>274</v>
      </c>
      <c r="AV275">
        <v>6</v>
      </c>
      <c r="AW275" t="s">
        <v>900</v>
      </c>
      <c r="AX275" t="s">
        <v>45</v>
      </c>
      <c r="AY275" t="s">
        <v>501</v>
      </c>
      <c r="AZ275">
        <v>1002</v>
      </c>
      <c r="BA275" t="s">
        <v>901</v>
      </c>
      <c r="BB275">
        <v>962</v>
      </c>
      <c r="BC275" t="s">
        <v>902</v>
      </c>
      <c r="BD275">
        <v>2000</v>
      </c>
      <c r="BE275">
        <v>0</v>
      </c>
      <c r="BF275">
        <v>246.05334540000001</v>
      </c>
    </row>
    <row r="276" spans="1:58" x14ac:dyDescent="0.2">
      <c r="A276">
        <v>275</v>
      </c>
      <c r="B276" t="s">
        <v>324</v>
      </c>
      <c r="C276">
        <v>0</v>
      </c>
      <c r="H276" t="s">
        <v>324</v>
      </c>
      <c r="I276" t="s">
        <v>45</v>
      </c>
      <c r="Q276" t="s">
        <v>324</v>
      </c>
      <c r="R276">
        <v>920.03331579999997</v>
      </c>
      <c r="S276">
        <v>6</v>
      </c>
      <c r="T276">
        <v>130</v>
      </c>
      <c r="V276">
        <v>0</v>
      </c>
      <c r="W276">
        <v>0</v>
      </c>
      <c r="X276" t="s">
        <v>324</v>
      </c>
      <c r="Y276">
        <v>-1</v>
      </c>
      <c r="Z276">
        <v>6</v>
      </c>
      <c r="AA276">
        <v>920.03</v>
      </c>
      <c r="AB276">
        <v>130</v>
      </c>
      <c r="AC276">
        <v>0.49</v>
      </c>
      <c r="AD276">
        <v>0.01</v>
      </c>
      <c r="AE276">
        <v>0</v>
      </c>
      <c r="AF276">
        <v>0</v>
      </c>
      <c r="AG276">
        <v>1</v>
      </c>
      <c r="AH276">
        <v>0.49</v>
      </c>
      <c r="AI276">
        <v>0.49</v>
      </c>
      <c r="AJ276">
        <v>0.49</v>
      </c>
      <c r="AK276">
        <v>0.01</v>
      </c>
      <c r="AL276">
        <v>0.01</v>
      </c>
      <c r="AM276">
        <v>0.01</v>
      </c>
      <c r="AN276">
        <v>0</v>
      </c>
      <c r="AO276">
        <v>0</v>
      </c>
      <c r="AP276">
        <v>0</v>
      </c>
      <c r="AQ276">
        <v>920.03331579999997</v>
      </c>
      <c r="AR276">
        <v>0</v>
      </c>
      <c r="AS276">
        <v>275</v>
      </c>
      <c r="AT276">
        <v>1</v>
      </c>
      <c r="AU276">
        <v>275</v>
      </c>
      <c r="AV276">
        <v>6</v>
      </c>
      <c r="AW276" t="s">
        <v>903</v>
      </c>
      <c r="AX276" t="s">
        <v>45</v>
      </c>
      <c r="AY276" t="s">
        <v>501</v>
      </c>
      <c r="AZ276">
        <v>962</v>
      </c>
      <c r="BA276" t="s">
        <v>902</v>
      </c>
      <c r="BB276">
        <v>961</v>
      </c>
      <c r="BC276" t="s">
        <v>904</v>
      </c>
      <c r="BD276">
        <v>2000</v>
      </c>
      <c r="BE276">
        <v>0</v>
      </c>
      <c r="BF276">
        <v>920.03330630000005</v>
      </c>
    </row>
    <row r="277" spans="1:58" x14ac:dyDescent="0.2">
      <c r="A277">
        <v>276</v>
      </c>
      <c r="B277" t="s">
        <v>325</v>
      </c>
      <c r="C277">
        <v>0</v>
      </c>
      <c r="H277" t="s">
        <v>325</v>
      </c>
      <c r="I277" t="s">
        <v>45</v>
      </c>
      <c r="Q277" t="s">
        <v>325</v>
      </c>
      <c r="R277">
        <v>222.74998020000001</v>
      </c>
      <c r="S277">
        <v>6</v>
      </c>
      <c r="T277">
        <v>130</v>
      </c>
      <c r="V277">
        <v>0</v>
      </c>
      <c r="W277">
        <v>0</v>
      </c>
      <c r="X277" t="s">
        <v>325</v>
      </c>
      <c r="Y277">
        <v>-1</v>
      </c>
      <c r="Z277">
        <v>6</v>
      </c>
      <c r="AA277">
        <v>222.75</v>
      </c>
      <c r="AB277">
        <v>130</v>
      </c>
      <c r="AC277">
        <v>1.53</v>
      </c>
      <c r="AD277">
        <v>0.02</v>
      </c>
      <c r="AE277">
        <v>0</v>
      </c>
      <c r="AF277">
        <v>0</v>
      </c>
      <c r="AG277">
        <v>1</v>
      </c>
      <c r="AH277">
        <v>1.53</v>
      </c>
      <c r="AI277">
        <v>1.53</v>
      </c>
      <c r="AJ277">
        <v>1.53</v>
      </c>
      <c r="AK277">
        <v>0.02</v>
      </c>
      <c r="AL277">
        <v>0.02</v>
      </c>
      <c r="AM277">
        <v>0.02</v>
      </c>
      <c r="AN277">
        <v>0</v>
      </c>
      <c r="AO277">
        <v>0</v>
      </c>
      <c r="AP277">
        <v>0</v>
      </c>
      <c r="AQ277">
        <v>222.74998020000001</v>
      </c>
      <c r="AR277">
        <v>0</v>
      </c>
      <c r="AS277">
        <v>276</v>
      </c>
      <c r="AT277">
        <v>1</v>
      </c>
      <c r="AU277">
        <v>276</v>
      </c>
      <c r="AV277">
        <v>6</v>
      </c>
      <c r="AW277" t="s">
        <v>905</v>
      </c>
      <c r="AX277" t="s">
        <v>45</v>
      </c>
      <c r="AY277" t="s">
        <v>501</v>
      </c>
      <c r="AZ277">
        <v>961</v>
      </c>
      <c r="BA277" t="s">
        <v>904</v>
      </c>
      <c r="BB277">
        <v>1074</v>
      </c>
      <c r="BC277" t="s">
        <v>906</v>
      </c>
      <c r="BD277">
        <v>2000</v>
      </c>
      <c r="BE277">
        <v>0</v>
      </c>
      <c r="BF277">
        <v>222.74992560000001</v>
      </c>
    </row>
    <row r="278" spans="1:58" x14ac:dyDescent="0.2">
      <c r="A278">
        <v>277</v>
      </c>
      <c r="B278" t="s">
        <v>326</v>
      </c>
      <c r="C278">
        <v>0</v>
      </c>
      <c r="H278" t="s">
        <v>326</v>
      </c>
      <c r="I278" t="s">
        <v>45</v>
      </c>
      <c r="Q278" t="s">
        <v>326</v>
      </c>
      <c r="R278">
        <v>507.56867110000002</v>
      </c>
      <c r="S278">
        <v>6</v>
      </c>
      <c r="T278">
        <v>130</v>
      </c>
      <c r="V278">
        <v>0</v>
      </c>
      <c r="W278">
        <v>0</v>
      </c>
      <c r="X278" t="s">
        <v>326</v>
      </c>
      <c r="Y278">
        <v>-1</v>
      </c>
      <c r="Z278">
        <v>6</v>
      </c>
      <c r="AA278">
        <v>507.57</v>
      </c>
      <c r="AB278">
        <v>130</v>
      </c>
      <c r="AC278">
        <v>4.42</v>
      </c>
      <c r="AD278">
        <v>0.05</v>
      </c>
      <c r="AE278">
        <v>0</v>
      </c>
      <c r="AF278">
        <v>0</v>
      </c>
      <c r="AG278">
        <v>1</v>
      </c>
      <c r="AH278">
        <v>4.42</v>
      </c>
      <c r="AI278">
        <v>4.42</v>
      </c>
      <c r="AJ278">
        <v>4.42</v>
      </c>
      <c r="AK278">
        <v>0.05</v>
      </c>
      <c r="AL278">
        <v>0.05</v>
      </c>
      <c r="AM278">
        <v>0.05</v>
      </c>
      <c r="AN278">
        <v>0</v>
      </c>
      <c r="AO278">
        <v>0</v>
      </c>
      <c r="AP278">
        <v>0</v>
      </c>
      <c r="AQ278">
        <v>507.56867110000002</v>
      </c>
      <c r="AR278">
        <v>0</v>
      </c>
      <c r="AS278">
        <v>277</v>
      </c>
      <c r="AT278">
        <v>1</v>
      </c>
      <c r="AU278">
        <v>277</v>
      </c>
      <c r="AV278">
        <v>6</v>
      </c>
      <c r="AW278" t="s">
        <v>905</v>
      </c>
      <c r="AX278" t="s">
        <v>45</v>
      </c>
      <c r="AY278" t="s">
        <v>501</v>
      </c>
      <c r="AZ278">
        <v>961</v>
      </c>
      <c r="BA278" t="s">
        <v>904</v>
      </c>
      <c r="BB278">
        <v>1074</v>
      </c>
      <c r="BC278" t="s">
        <v>906</v>
      </c>
      <c r="BD278">
        <v>2000</v>
      </c>
      <c r="BE278">
        <v>0</v>
      </c>
      <c r="BF278">
        <v>222.74992560000001</v>
      </c>
    </row>
    <row r="279" spans="1:58" x14ac:dyDescent="0.2">
      <c r="A279">
        <v>278</v>
      </c>
      <c r="B279" t="s">
        <v>327</v>
      </c>
      <c r="C279">
        <v>0</v>
      </c>
      <c r="H279" t="s">
        <v>327</v>
      </c>
      <c r="I279" t="s">
        <v>45</v>
      </c>
      <c r="Q279" t="s">
        <v>327</v>
      </c>
      <c r="R279">
        <v>1378.99118</v>
      </c>
      <c r="S279">
        <v>6</v>
      </c>
      <c r="T279">
        <v>130</v>
      </c>
      <c r="V279">
        <v>0</v>
      </c>
      <c r="W279">
        <v>0</v>
      </c>
      <c r="X279" t="s">
        <v>327</v>
      </c>
      <c r="Y279">
        <v>-1</v>
      </c>
      <c r="Z279">
        <v>6</v>
      </c>
      <c r="AA279">
        <v>1378.99</v>
      </c>
      <c r="AB279">
        <v>130</v>
      </c>
      <c r="AC279">
        <v>8.4600000000000009</v>
      </c>
      <c r="AD279">
        <v>0.1</v>
      </c>
      <c r="AE279">
        <v>0.01</v>
      </c>
      <c r="AF279">
        <v>0.01</v>
      </c>
      <c r="AG279">
        <v>1</v>
      </c>
      <c r="AH279">
        <v>8.4600000000000009</v>
      </c>
      <c r="AI279">
        <v>8.4600000000000009</v>
      </c>
      <c r="AJ279">
        <v>8.4600000000000009</v>
      </c>
      <c r="AK279">
        <v>0.1</v>
      </c>
      <c r="AL279">
        <v>0.1</v>
      </c>
      <c r="AM279">
        <v>0.1</v>
      </c>
      <c r="AN279">
        <v>0.01</v>
      </c>
      <c r="AO279">
        <v>0.01</v>
      </c>
      <c r="AP279">
        <v>0.01</v>
      </c>
      <c r="AQ279">
        <v>1378.99118</v>
      </c>
      <c r="AR279">
        <v>0</v>
      </c>
      <c r="AS279">
        <v>278</v>
      </c>
      <c r="AT279">
        <v>1</v>
      </c>
      <c r="AU279">
        <v>278</v>
      </c>
      <c r="AV279">
        <v>6</v>
      </c>
      <c r="AW279" t="s">
        <v>907</v>
      </c>
      <c r="AX279" t="s">
        <v>146</v>
      </c>
      <c r="AY279" t="s">
        <v>501</v>
      </c>
      <c r="AZ279">
        <v>1055</v>
      </c>
      <c r="BA279" t="s">
        <v>908</v>
      </c>
      <c r="BB279">
        <v>1683</v>
      </c>
      <c r="BC279" t="s">
        <v>538</v>
      </c>
      <c r="BD279">
        <v>1980</v>
      </c>
      <c r="BE279">
        <v>0</v>
      </c>
      <c r="BF279">
        <v>127.5629824</v>
      </c>
    </row>
    <row r="280" spans="1:58" x14ac:dyDescent="0.2">
      <c r="A280">
        <v>279</v>
      </c>
      <c r="B280" t="s">
        <v>328</v>
      </c>
      <c r="C280">
        <v>0</v>
      </c>
      <c r="H280" t="s">
        <v>328</v>
      </c>
      <c r="I280" t="s">
        <v>45</v>
      </c>
      <c r="Q280" t="s">
        <v>328</v>
      </c>
      <c r="R280">
        <v>822.00287509999998</v>
      </c>
      <c r="S280">
        <v>6</v>
      </c>
      <c r="T280">
        <v>130</v>
      </c>
      <c r="V280">
        <v>0</v>
      </c>
      <c r="W280">
        <v>0</v>
      </c>
      <c r="X280" t="s">
        <v>328</v>
      </c>
      <c r="Y280">
        <v>-1</v>
      </c>
      <c r="Z280">
        <v>6</v>
      </c>
      <c r="AA280">
        <v>822</v>
      </c>
      <c r="AB280">
        <v>130</v>
      </c>
      <c r="AC280">
        <v>6.18</v>
      </c>
      <c r="AD280">
        <v>7.0000000000000007E-2</v>
      </c>
      <c r="AE280">
        <v>0</v>
      </c>
      <c r="AF280">
        <v>0.01</v>
      </c>
      <c r="AG280">
        <v>1</v>
      </c>
      <c r="AH280">
        <v>6.18</v>
      </c>
      <c r="AI280">
        <v>6.18</v>
      </c>
      <c r="AJ280">
        <v>6.18</v>
      </c>
      <c r="AK280">
        <v>7.0000000000000007E-2</v>
      </c>
      <c r="AL280">
        <v>7.0000000000000007E-2</v>
      </c>
      <c r="AM280">
        <v>7.0000000000000007E-2</v>
      </c>
      <c r="AN280">
        <v>0</v>
      </c>
      <c r="AO280">
        <v>0</v>
      </c>
      <c r="AP280">
        <v>0</v>
      </c>
      <c r="AQ280">
        <v>822.00287509999998</v>
      </c>
      <c r="AR280">
        <v>0</v>
      </c>
      <c r="AS280">
        <v>279</v>
      </c>
      <c r="AT280">
        <v>1</v>
      </c>
      <c r="AU280">
        <v>279</v>
      </c>
      <c r="AV280">
        <v>6</v>
      </c>
      <c r="AW280" t="s">
        <v>537</v>
      </c>
      <c r="AX280" t="s">
        <v>146</v>
      </c>
      <c r="AY280" t="s">
        <v>501</v>
      </c>
      <c r="AZ280">
        <v>1683</v>
      </c>
      <c r="BA280" t="s">
        <v>538</v>
      </c>
      <c r="BB280">
        <v>1041</v>
      </c>
      <c r="BC280" t="s">
        <v>535</v>
      </c>
      <c r="BD280">
        <v>1980</v>
      </c>
      <c r="BE280">
        <v>0</v>
      </c>
      <c r="BF280">
        <v>52.53767294</v>
      </c>
    </row>
    <row r="281" spans="1:58" x14ac:dyDescent="0.2">
      <c r="A281">
        <v>280</v>
      </c>
      <c r="B281" t="s">
        <v>329</v>
      </c>
      <c r="C281">
        <v>0</v>
      </c>
      <c r="H281" t="s">
        <v>329</v>
      </c>
      <c r="I281" t="s">
        <v>45</v>
      </c>
      <c r="Q281" t="s">
        <v>329</v>
      </c>
      <c r="R281">
        <v>1363.41445</v>
      </c>
      <c r="S281">
        <v>6</v>
      </c>
      <c r="T281">
        <v>130</v>
      </c>
      <c r="V281">
        <v>0</v>
      </c>
      <c r="W281">
        <v>0</v>
      </c>
      <c r="X281" t="s">
        <v>329</v>
      </c>
      <c r="Y281">
        <v>-1</v>
      </c>
      <c r="Z281">
        <v>6</v>
      </c>
      <c r="AA281">
        <v>1363.41</v>
      </c>
      <c r="AB281">
        <v>130</v>
      </c>
      <c r="AC281">
        <v>5.0599999999999996</v>
      </c>
      <c r="AD281">
        <v>0.06</v>
      </c>
      <c r="AE281">
        <v>0.01</v>
      </c>
      <c r="AF281">
        <v>0</v>
      </c>
      <c r="AG281">
        <v>1</v>
      </c>
      <c r="AH281">
        <v>5.0599999999999996</v>
      </c>
      <c r="AI281">
        <v>5.0599999999999996</v>
      </c>
      <c r="AJ281">
        <v>5.0599999999999996</v>
      </c>
      <c r="AK281">
        <v>0.06</v>
      </c>
      <c r="AL281">
        <v>0.06</v>
      </c>
      <c r="AM281">
        <v>0.06</v>
      </c>
      <c r="AN281">
        <v>0.01</v>
      </c>
      <c r="AO281">
        <v>0.01</v>
      </c>
      <c r="AP281">
        <v>0.01</v>
      </c>
      <c r="AQ281">
        <v>1363.41445</v>
      </c>
      <c r="AR281">
        <v>0</v>
      </c>
      <c r="AS281">
        <v>280</v>
      </c>
      <c r="AT281">
        <v>1</v>
      </c>
      <c r="AU281">
        <v>280</v>
      </c>
      <c r="AV281">
        <v>6</v>
      </c>
      <c r="AW281" t="s">
        <v>909</v>
      </c>
      <c r="AX281" t="s">
        <v>45</v>
      </c>
      <c r="AY281" t="s">
        <v>501</v>
      </c>
      <c r="AZ281">
        <v>1035</v>
      </c>
      <c r="BA281" t="s">
        <v>910</v>
      </c>
      <c r="BB281">
        <v>1042</v>
      </c>
      <c r="BC281" t="s">
        <v>853</v>
      </c>
      <c r="BD281">
        <v>2000</v>
      </c>
      <c r="BE281">
        <v>0</v>
      </c>
      <c r="BF281">
        <v>1399.6477070000001</v>
      </c>
    </row>
    <row r="282" spans="1:58" x14ac:dyDescent="0.2">
      <c r="A282">
        <v>281</v>
      </c>
      <c r="B282" t="s">
        <v>330</v>
      </c>
      <c r="C282">
        <v>0</v>
      </c>
      <c r="H282" t="s">
        <v>330</v>
      </c>
      <c r="I282" t="s">
        <v>45</v>
      </c>
      <c r="Q282" t="s">
        <v>330</v>
      </c>
      <c r="R282">
        <v>36.233289040000003</v>
      </c>
      <c r="S282">
        <v>6</v>
      </c>
      <c r="T282">
        <v>130</v>
      </c>
      <c r="V282">
        <v>0</v>
      </c>
      <c r="W282">
        <v>0</v>
      </c>
      <c r="X282" t="s">
        <v>330</v>
      </c>
      <c r="Y282">
        <v>-1</v>
      </c>
      <c r="Z282">
        <v>6</v>
      </c>
      <c r="AA282">
        <v>36.229999999999997</v>
      </c>
      <c r="AB282">
        <v>130</v>
      </c>
      <c r="AC282">
        <v>5.0599999999999996</v>
      </c>
      <c r="AD282">
        <v>0.06</v>
      </c>
      <c r="AE282">
        <v>0</v>
      </c>
      <c r="AF282">
        <v>0</v>
      </c>
      <c r="AG282">
        <v>1</v>
      </c>
      <c r="AH282">
        <v>5.0599999999999996</v>
      </c>
      <c r="AI282">
        <v>5.0599999999999996</v>
      </c>
      <c r="AJ282">
        <v>5.0599999999999996</v>
      </c>
      <c r="AK282">
        <v>0.06</v>
      </c>
      <c r="AL282">
        <v>0.06</v>
      </c>
      <c r="AM282">
        <v>0.06</v>
      </c>
      <c r="AN282">
        <v>0</v>
      </c>
      <c r="AO282">
        <v>0</v>
      </c>
      <c r="AP282">
        <v>0</v>
      </c>
      <c r="AQ282">
        <v>36.233289040000003</v>
      </c>
      <c r="AR282">
        <v>0</v>
      </c>
      <c r="AS282">
        <v>281</v>
      </c>
      <c r="AT282">
        <v>1</v>
      </c>
      <c r="AU282">
        <v>281</v>
      </c>
      <c r="AV282">
        <v>2</v>
      </c>
      <c r="AW282" t="s">
        <v>852</v>
      </c>
      <c r="AX282" t="s">
        <v>158</v>
      </c>
      <c r="AY282" t="s">
        <v>501</v>
      </c>
      <c r="AZ282">
        <v>1001</v>
      </c>
      <c r="BA282" t="s">
        <v>524</v>
      </c>
      <c r="BB282">
        <v>1042</v>
      </c>
      <c r="BC282" t="s">
        <v>853</v>
      </c>
      <c r="BD282">
        <v>1950</v>
      </c>
      <c r="BE282">
        <v>0</v>
      </c>
      <c r="BF282">
        <v>45.420371809999999</v>
      </c>
    </row>
    <row r="283" spans="1:58" x14ac:dyDescent="0.2">
      <c r="A283">
        <v>282</v>
      </c>
      <c r="B283" t="s">
        <v>331</v>
      </c>
      <c r="C283">
        <v>0</v>
      </c>
      <c r="H283" t="s">
        <v>331</v>
      </c>
      <c r="I283" t="s">
        <v>45</v>
      </c>
      <c r="Q283" t="s">
        <v>331</v>
      </c>
      <c r="R283">
        <v>29.546343400000001</v>
      </c>
      <c r="S283">
        <v>6</v>
      </c>
      <c r="T283">
        <v>130</v>
      </c>
      <c r="V283">
        <v>0</v>
      </c>
      <c r="W283">
        <v>0</v>
      </c>
      <c r="X283" t="s">
        <v>331</v>
      </c>
      <c r="Y283">
        <v>1</v>
      </c>
      <c r="Z283">
        <v>6</v>
      </c>
      <c r="AA283">
        <v>29.55</v>
      </c>
      <c r="AB283">
        <v>130</v>
      </c>
      <c r="AC283">
        <v>4.18</v>
      </c>
      <c r="AD283">
        <v>0.05</v>
      </c>
      <c r="AE283">
        <v>0</v>
      </c>
      <c r="AF283">
        <v>0</v>
      </c>
      <c r="AG283">
        <v>1</v>
      </c>
      <c r="AH283">
        <v>4.18</v>
      </c>
      <c r="AI283">
        <v>4.18</v>
      </c>
      <c r="AJ283">
        <v>4.18</v>
      </c>
      <c r="AK283">
        <v>0.05</v>
      </c>
      <c r="AL283">
        <v>0.05</v>
      </c>
      <c r="AM283">
        <v>0.05</v>
      </c>
      <c r="AN283">
        <v>0</v>
      </c>
      <c r="AO283">
        <v>0</v>
      </c>
      <c r="AP283">
        <v>0</v>
      </c>
      <c r="AQ283">
        <v>29.546343400000001</v>
      </c>
      <c r="AR283">
        <v>0</v>
      </c>
      <c r="AS283">
        <v>282</v>
      </c>
      <c r="AT283">
        <v>1</v>
      </c>
      <c r="AU283">
        <v>282</v>
      </c>
      <c r="AV283">
        <v>6</v>
      </c>
      <c r="AW283" t="s">
        <v>911</v>
      </c>
      <c r="AX283" t="s">
        <v>45</v>
      </c>
      <c r="AY283" t="s">
        <v>501</v>
      </c>
      <c r="AZ283">
        <v>854</v>
      </c>
      <c r="BA283" t="s">
        <v>912</v>
      </c>
      <c r="BB283">
        <v>1035</v>
      </c>
      <c r="BC283" t="s">
        <v>910</v>
      </c>
      <c r="BD283">
        <v>2000</v>
      </c>
      <c r="BE283">
        <v>0</v>
      </c>
      <c r="BF283">
        <v>1975.800105</v>
      </c>
    </row>
    <row r="284" spans="1:58" x14ac:dyDescent="0.2">
      <c r="A284">
        <v>283</v>
      </c>
      <c r="B284" t="s">
        <v>332</v>
      </c>
      <c r="C284">
        <v>0</v>
      </c>
      <c r="H284" t="s">
        <v>332</v>
      </c>
      <c r="I284" t="s">
        <v>45</v>
      </c>
      <c r="Q284" t="s">
        <v>332</v>
      </c>
      <c r="R284">
        <v>1946.2538179999999</v>
      </c>
      <c r="S284">
        <v>6</v>
      </c>
      <c r="T284">
        <v>130</v>
      </c>
      <c r="V284">
        <v>0</v>
      </c>
      <c r="W284">
        <v>0</v>
      </c>
      <c r="X284" t="s">
        <v>332</v>
      </c>
      <c r="Y284">
        <v>1</v>
      </c>
      <c r="Z284">
        <v>6</v>
      </c>
      <c r="AA284">
        <v>1946.25</v>
      </c>
      <c r="AB284">
        <v>130</v>
      </c>
      <c r="AC284">
        <v>4.18</v>
      </c>
      <c r="AD284">
        <v>0.05</v>
      </c>
      <c r="AE284">
        <v>0.01</v>
      </c>
      <c r="AF284">
        <v>0</v>
      </c>
      <c r="AG284">
        <v>1</v>
      </c>
      <c r="AH284">
        <v>4.18</v>
      </c>
      <c r="AI284">
        <v>4.18</v>
      </c>
      <c r="AJ284">
        <v>4.18</v>
      </c>
      <c r="AK284">
        <v>0.05</v>
      </c>
      <c r="AL284">
        <v>0.05</v>
      </c>
      <c r="AM284">
        <v>0.05</v>
      </c>
      <c r="AN284">
        <v>0.01</v>
      </c>
      <c r="AO284">
        <v>0.01</v>
      </c>
      <c r="AP284">
        <v>0.01</v>
      </c>
      <c r="AQ284">
        <v>1946.2538179999999</v>
      </c>
      <c r="AR284">
        <v>0</v>
      </c>
      <c r="AS284">
        <v>283</v>
      </c>
      <c r="AT284">
        <v>1</v>
      </c>
      <c r="AU284">
        <v>283</v>
      </c>
      <c r="AV284">
        <v>6</v>
      </c>
      <c r="AW284" t="s">
        <v>909</v>
      </c>
      <c r="AX284" t="s">
        <v>45</v>
      </c>
      <c r="AY284" t="s">
        <v>501</v>
      </c>
      <c r="AZ284">
        <v>1035</v>
      </c>
      <c r="BA284" t="s">
        <v>910</v>
      </c>
      <c r="BB284">
        <v>1042</v>
      </c>
      <c r="BC284" t="s">
        <v>853</v>
      </c>
      <c r="BD284">
        <v>2000</v>
      </c>
      <c r="BE284">
        <v>0</v>
      </c>
      <c r="BF284">
        <v>1399.6477070000001</v>
      </c>
    </row>
    <row r="285" spans="1:58" x14ac:dyDescent="0.2">
      <c r="A285">
        <v>284</v>
      </c>
      <c r="B285" t="s">
        <v>333</v>
      </c>
      <c r="C285">
        <v>0</v>
      </c>
      <c r="H285" t="s">
        <v>333</v>
      </c>
      <c r="I285" t="s">
        <v>45</v>
      </c>
      <c r="Q285" t="s">
        <v>333</v>
      </c>
      <c r="R285">
        <v>1343.5361700000001</v>
      </c>
      <c r="S285">
        <v>6</v>
      </c>
      <c r="T285">
        <v>130</v>
      </c>
      <c r="V285">
        <v>0</v>
      </c>
      <c r="W285">
        <v>0</v>
      </c>
      <c r="X285" t="s">
        <v>333</v>
      </c>
      <c r="Y285">
        <v>1</v>
      </c>
      <c r="Z285">
        <v>6</v>
      </c>
      <c r="AA285">
        <v>1343.54</v>
      </c>
      <c r="AB285">
        <v>130</v>
      </c>
      <c r="AC285">
        <v>2.65</v>
      </c>
      <c r="AD285">
        <v>0.03</v>
      </c>
      <c r="AE285">
        <v>0</v>
      </c>
      <c r="AF285">
        <v>0</v>
      </c>
      <c r="AG285">
        <v>1</v>
      </c>
      <c r="AH285">
        <v>2.65</v>
      </c>
      <c r="AI285">
        <v>2.65</v>
      </c>
      <c r="AJ285">
        <v>2.65</v>
      </c>
      <c r="AK285">
        <v>0.03</v>
      </c>
      <c r="AL285">
        <v>0.03</v>
      </c>
      <c r="AM285">
        <v>0.03</v>
      </c>
      <c r="AN285">
        <v>0</v>
      </c>
      <c r="AO285">
        <v>0</v>
      </c>
      <c r="AP285">
        <v>0</v>
      </c>
      <c r="AQ285">
        <v>1343.5361700000001</v>
      </c>
      <c r="AR285">
        <v>0</v>
      </c>
      <c r="AS285">
        <v>284</v>
      </c>
      <c r="AT285">
        <v>1</v>
      </c>
      <c r="AU285">
        <v>284</v>
      </c>
      <c r="AV285">
        <v>6</v>
      </c>
      <c r="AW285" t="s">
        <v>913</v>
      </c>
      <c r="AX285" t="s">
        <v>45</v>
      </c>
      <c r="AY285" t="s">
        <v>501</v>
      </c>
      <c r="AZ285">
        <v>1074</v>
      </c>
      <c r="BA285" t="s">
        <v>906</v>
      </c>
      <c r="BB285">
        <v>890</v>
      </c>
      <c r="BC285" t="s">
        <v>914</v>
      </c>
      <c r="BD285">
        <v>2000</v>
      </c>
      <c r="BE285">
        <v>0</v>
      </c>
      <c r="BF285">
        <v>507.56847190000002</v>
      </c>
    </row>
    <row r="286" spans="1:58" x14ac:dyDescent="0.2">
      <c r="A286">
        <v>285</v>
      </c>
      <c r="B286" t="s">
        <v>334</v>
      </c>
      <c r="C286">
        <v>0</v>
      </c>
      <c r="H286" t="s">
        <v>334</v>
      </c>
      <c r="I286" t="s">
        <v>45</v>
      </c>
      <c r="Q286" t="s">
        <v>334</v>
      </c>
      <c r="R286">
        <v>751.36967809999999</v>
      </c>
      <c r="S286">
        <v>6</v>
      </c>
      <c r="T286">
        <v>130</v>
      </c>
      <c r="V286">
        <v>0</v>
      </c>
      <c r="W286">
        <v>0</v>
      </c>
      <c r="X286" t="s">
        <v>334</v>
      </c>
      <c r="Y286">
        <v>-1</v>
      </c>
      <c r="Z286">
        <v>6</v>
      </c>
      <c r="AA286">
        <v>751.37</v>
      </c>
      <c r="AB286">
        <v>130</v>
      </c>
      <c r="AC286">
        <v>0.53</v>
      </c>
      <c r="AD286">
        <v>0.01</v>
      </c>
      <c r="AE286">
        <v>0</v>
      </c>
      <c r="AF286">
        <v>0</v>
      </c>
      <c r="AG286">
        <v>1</v>
      </c>
      <c r="AH286">
        <v>0.53</v>
      </c>
      <c r="AI286">
        <v>0.53</v>
      </c>
      <c r="AJ286">
        <v>0.53</v>
      </c>
      <c r="AK286">
        <v>0.01</v>
      </c>
      <c r="AL286">
        <v>0.01</v>
      </c>
      <c r="AM286">
        <v>0.01</v>
      </c>
      <c r="AN286">
        <v>0</v>
      </c>
      <c r="AO286">
        <v>0</v>
      </c>
      <c r="AP286">
        <v>0</v>
      </c>
      <c r="AQ286">
        <v>751.36967809999999</v>
      </c>
      <c r="AR286">
        <v>0</v>
      </c>
      <c r="AS286">
        <v>285</v>
      </c>
      <c r="AT286">
        <v>1</v>
      </c>
      <c r="AU286">
        <v>285</v>
      </c>
      <c r="AV286">
        <v>6</v>
      </c>
      <c r="AW286" t="s">
        <v>911</v>
      </c>
      <c r="AX286" t="s">
        <v>45</v>
      </c>
      <c r="AY286" t="s">
        <v>501</v>
      </c>
      <c r="AZ286">
        <v>854</v>
      </c>
      <c r="BA286" t="s">
        <v>912</v>
      </c>
      <c r="BB286">
        <v>1035</v>
      </c>
      <c r="BC286" t="s">
        <v>910</v>
      </c>
      <c r="BD286">
        <v>2000</v>
      </c>
      <c r="BE286">
        <v>0</v>
      </c>
      <c r="BF286">
        <v>1975.800105</v>
      </c>
    </row>
    <row r="287" spans="1:58" x14ac:dyDescent="0.2">
      <c r="A287">
        <v>286</v>
      </c>
      <c r="B287" t="s">
        <v>335</v>
      </c>
      <c r="C287">
        <v>0</v>
      </c>
      <c r="H287" t="s">
        <v>335</v>
      </c>
      <c r="I287" t="s">
        <v>45</v>
      </c>
      <c r="Q287" t="s">
        <v>335</v>
      </c>
      <c r="R287">
        <v>146.1729689</v>
      </c>
      <c r="S287">
        <v>6</v>
      </c>
      <c r="T287">
        <v>130</v>
      </c>
      <c r="V287">
        <v>0</v>
      </c>
      <c r="W287">
        <v>0</v>
      </c>
      <c r="X287" t="s">
        <v>335</v>
      </c>
      <c r="Y287">
        <v>1</v>
      </c>
      <c r="Z287">
        <v>6</v>
      </c>
      <c r="AA287">
        <v>146.16999999999999</v>
      </c>
      <c r="AB287">
        <v>130</v>
      </c>
      <c r="AC287">
        <v>2.36</v>
      </c>
      <c r="AD287">
        <v>0.03</v>
      </c>
      <c r="AE287">
        <v>0</v>
      </c>
      <c r="AF287">
        <v>0</v>
      </c>
      <c r="AG287">
        <v>1</v>
      </c>
      <c r="AH287">
        <v>2.36</v>
      </c>
      <c r="AI287">
        <v>2.36</v>
      </c>
      <c r="AJ287">
        <v>2.36</v>
      </c>
      <c r="AK287">
        <v>0.03</v>
      </c>
      <c r="AL287">
        <v>0.03</v>
      </c>
      <c r="AM287">
        <v>0.03</v>
      </c>
      <c r="AN287">
        <v>0</v>
      </c>
      <c r="AO287">
        <v>0</v>
      </c>
      <c r="AP287">
        <v>0</v>
      </c>
      <c r="AQ287">
        <v>146.1729689</v>
      </c>
      <c r="AR287">
        <v>0</v>
      </c>
      <c r="AS287">
        <v>286</v>
      </c>
      <c r="AT287">
        <v>1</v>
      </c>
      <c r="AU287">
        <v>286</v>
      </c>
      <c r="AV287">
        <v>6</v>
      </c>
      <c r="AW287" t="s">
        <v>913</v>
      </c>
      <c r="AX287" t="s">
        <v>45</v>
      </c>
      <c r="AY287" t="s">
        <v>501</v>
      </c>
      <c r="AZ287">
        <v>1074</v>
      </c>
      <c r="BA287" t="s">
        <v>906</v>
      </c>
      <c r="BB287">
        <v>890</v>
      </c>
      <c r="BC287" t="s">
        <v>914</v>
      </c>
      <c r="BD287">
        <v>2000</v>
      </c>
      <c r="BE287">
        <v>0</v>
      </c>
      <c r="BF287">
        <v>507.56847190000002</v>
      </c>
    </row>
    <row r="288" spans="1:58" x14ac:dyDescent="0.2">
      <c r="A288">
        <v>287</v>
      </c>
      <c r="B288" t="s">
        <v>336</v>
      </c>
      <c r="C288">
        <v>0</v>
      </c>
      <c r="H288" t="s">
        <v>336</v>
      </c>
      <c r="I288" t="s">
        <v>45</v>
      </c>
      <c r="Q288" t="s">
        <v>336</v>
      </c>
      <c r="R288">
        <v>1160.395835</v>
      </c>
      <c r="S288">
        <v>6</v>
      </c>
      <c r="T288">
        <v>130</v>
      </c>
      <c r="V288">
        <v>0</v>
      </c>
      <c r="W288">
        <v>0</v>
      </c>
      <c r="X288" t="s">
        <v>336</v>
      </c>
      <c r="Y288">
        <v>1</v>
      </c>
      <c r="Z288">
        <v>6</v>
      </c>
      <c r="AA288">
        <v>1160.4000000000001</v>
      </c>
      <c r="AB288">
        <v>130</v>
      </c>
      <c r="AC288">
        <v>0.62</v>
      </c>
      <c r="AD288">
        <v>0.01</v>
      </c>
      <c r="AE288">
        <v>0</v>
      </c>
      <c r="AF288">
        <v>0</v>
      </c>
      <c r="AG288">
        <v>1</v>
      </c>
      <c r="AH288">
        <v>0.62</v>
      </c>
      <c r="AI288">
        <v>0.62</v>
      </c>
      <c r="AJ288">
        <v>0.62</v>
      </c>
      <c r="AK288">
        <v>0.01</v>
      </c>
      <c r="AL288">
        <v>0.01</v>
      </c>
      <c r="AM288">
        <v>0.01</v>
      </c>
      <c r="AN288">
        <v>0</v>
      </c>
      <c r="AO288">
        <v>0</v>
      </c>
      <c r="AP288">
        <v>0</v>
      </c>
      <c r="AQ288">
        <v>1160.395835</v>
      </c>
      <c r="AR288">
        <v>0</v>
      </c>
      <c r="AS288">
        <v>287</v>
      </c>
      <c r="AT288">
        <v>1</v>
      </c>
      <c r="AU288">
        <v>287</v>
      </c>
      <c r="AV288">
        <v>6</v>
      </c>
      <c r="AW288" t="s">
        <v>903</v>
      </c>
      <c r="AX288" t="s">
        <v>45</v>
      </c>
      <c r="AY288" t="s">
        <v>501</v>
      </c>
      <c r="AZ288">
        <v>962</v>
      </c>
      <c r="BA288" t="s">
        <v>902</v>
      </c>
      <c r="BB288">
        <v>961</v>
      </c>
      <c r="BC288" t="s">
        <v>904</v>
      </c>
      <c r="BD288">
        <v>2000</v>
      </c>
      <c r="BE288">
        <v>0</v>
      </c>
      <c r="BF288">
        <v>920.03330630000005</v>
      </c>
    </row>
    <row r="289" spans="1:58" x14ac:dyDescent="0.2">
      <c r="A289">
        <v>288</v>
      </c>
      <c r="B289" t="s">
        <v>337</v>
      </c>
      <c r="C289">
        <v>0</v>
      </c>
      <c r="H289" t="s">
        <v>337</v>
      </c>
      <c r="I289" t="s">
        <v>45</v>
      </c>
      <c r="Q289" t="s">
        <v>337</v>
      </c>
      <c r="R289">
        <v>143.00009879999999</v>
      </c>
      <c r="S289">
        <v>6</v>
      </c>
      <c r="T289">
        <v>130</v>
      </c>
      <c r="V289">
        <v>0</v>
      </c>
      <c r="W289">
        <v>0</v>
      </c>
      <c r="X289" t="s">
        <v>337</v>
      </c>
      <c r="Y289">
        <v>-1</v>
      </c>
      <c r="Z289">
        <v>6</v>
      </c>
      <c r="AA289">
        <v>143</v>
      </c>
      <c r="AB289">
        <v>130</v>
      </c>
      <c r="AC289">
        <v>2.09</v>
      </c>
      <c r="AD289">
        <v>0.02</v>
      </c>
      <c r="AE289">
        <v>0</v>
      </c>
      <c r="AF289">
        <v>0</v>
      </c>
      <c r="AG289">
        <v>1</v>
      </c>
      <c r="AH289">
        <v>2.09</v>
      </c>
      <c r="AI289">
        <v>2.09</v>
      </c>
      <c r="AJ289">
        <v>2.09</v>
      </c>
      <c r="AK289">
        <v>0.02</v>
      </c>
      <c r="AL289">
        <v>0.02</v>
      </c>
      <c r="AM289">
        <v>0.02</v>
      </c>
      <c r="AN289">
        <v>0</v>
      </c>
      <c r="AO289">
        <v>0</v>
      </c>
      <c r="AP289">
        <v>0</v>
      </c>
      <c r="AQ289">
        <v>143.00009879999999</v>
      </c>
      <c r="AR289">
        <v>0</v>
      </c>
      <c r="AS289">
        <v>288</v>
      </c>
      <c r="AT289">
        <v>1</v>
      </c>
      <c r="AU289">
        <v>288</v>
      </c>
      <c r="AV289">
        <v>6</v>
      </c>
      <c r="AW289" t="s">
        <v>915</v>
      </c>
      <c r="AX289" t="s">
        <v>45</v>
      </c>
      <c r="AY289" t="s">
        <v>501</v>
      </c>
      <c r="AZ289">
        <v>857</v>
      </c>
      <c r="BA289" t="s">
        <v>916</v>
      </c>
      <c r="BB289">
        <v>914</v>
      </c>
      <c r="BC289" t="s">
        <v>917</v>
      </c>
      <c r="BD289">
        <v>2000</v>
      </c>
      <c r="BE289">
        <v>0</v>
      </c>
      <c r="BF289">
        <v>143.0002289</v>
      </c>
    </row>
    <row r="290" spans="1:58" x14ac:dyDescent="0.2">
      <c r="A290">
        <v>289</v>
      </c>
      <c r="B290" t="s">
        <v>338</v>
      </c>
      <c r="C290">
        <v>0</v>
      </c>
      <c r="H290" t="s">
        <v>338</v>
      </c>
      <c r="I290" t="s">
        <v>45</v>
      </c>
      <c r="Q290" t="s">
        <v>338</v>
      </c>
      <c r="R290">
        <v>103.751345</v>
      </c>
      <c r="S290">
        <v>6</v>
      </c>
      <c r="T290">
        <v>130</v>
      </c>
      <c r="V290">
        <v>0</v>
      </c>
      <c r="W290">
        <v>0</v>
      </c>
      <c r="X290" t="s">
        <v>338</v>
      </c>
      <c r="Y290">
        <v>1</v>
      </c>
      <c r="Z290">
        <v>6</v>
      </c>
      <c r="AA290">
        <v>103.75</v>
      </c>
      <c r="AB290">
        <v>130</v>
      </c>
      <c r="AC290">
        <v>0.14000000000000001</v>
      </c>
      <c r="AD290">
        <v>0</v>
      </c>
      <c r="AE290">
        <v>0</v>
      </c>
      <c r="AF290">
        <v>0</v>
      </c>
      <c r="AG290">
        <v>1</v>
      </c>
      <c r="AH290">
        <v>0.14000000000000001</v>
      </c>
      <c r="AI290">
        <v>0.14000000000000001</v>
      </c>
      <c r="AJ290">
        <v>0.14000000000000001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103.751345</v>
      </c>
      <c r="AR290">
        <v>0</v>
      </c>
      <c r="AS290">
        <v>289</v>
      </c>
      <c r="AT290">
        <v>1</v>
      </c>
      <c r="AU290">
        <v>289</v>
      </c>
      <c r="AV290">
        <v>6</v>
      </c>
      <c r="AW290" t="s">
        <v>918</v>
      </c>
      <c r="AX290" t="s">
        <v>45</v>
      </c>
      <c r="AY290" t="s">
        <v>501</v>
      </c>
      <c r="AZ290">
        <v>961</v>
      </c>
      <c r="BA290" t="s">
        <v>904</v>
      </c>
      <c r="BB290">
        <v>962</v>
      </c>
      <c r="BC290" t="s">
        <v>902</v>
      </c>
      <c r="BD290">
        <v>2000</v>
      </c>
      <c r="BE290">
        <v>0</v>
      </c>
      <c r="BF290">
        <v>1160.396315</v>
      </c>
    </row>
    <row r="291" spans="1:58" x14ac:dyDescent="0.2">
      <c r="A291">
        <v>290</v>
      </c>
      <c r="B291" t="s">
        <v>339</v>
      </c>
      <c r="C291">
        <v>0</v>
      </c>
      <c r="H291" t="s">
        <v>339</v>
      </c>
      <c r="I291" t="s">
        <v>45</v>
      </c>
      <c r="Q291" t="s">
        <v>339</v>
      </c>
      <c r="R291">
        <v>404.66816799999998</v>
      </c>
      <c r="S291">
        <v>6</v>
      </c>
      <c r="T291">
        <v>130</v>
      </c>
      <c r="V291">
        <v>0</v>
      </c>
      <c r="W291">
        <v>0</v>
      </c>
      <c r="X291" t="s">
        <v>339</v>
      </c>
      <c r="Y291">
        <v>-1</v>
      </c>
      <c r="Z291">
        <v>6</v>
      </c>
      <c r="AA291">
        <v>404.67</v>
      </c>
      <c r="AB291">
        <v>130</v>
      </c>
      <c r="AC291">
        <v>2.5099999999999998</v>
      </c>
      <c r="AD291">
        <v>0.03</v>
      </c>
      <c r="AE291">
        <v>0</v>
      </c>
      <c r="AF291">
        <v>0</v>
      </c>
      <c r="AG291">
        <v>1</v>
      </c>
      <c r="AH291">
        <v>2.5099999999999998</v>
      </c>
      <c r="AI291">
        <v>2.5099999999999998</v>
      </c>
      <c r="AJ291">
        <v>2.5099999999999998</v>
      </c>
      <c r="AK291">
        <v>0.03</v>
      </c>
      <c r="AL291">
        <v>0.03</v>
      </c>
      <c r="AM291">
        <v>0.03</v>
      </c>
      <c r="AN291">
        <v>0</v>
      </c>
      <c r="AO291">
        <v>0</v>
      </c>
      <c r="AP291">
        <v>0</v>
      </c>
      <c r="AQ291">
        <v>404.66816799999998</v>
      </c>
      <c r="AR291">
        <v>0</v>
      </c>
      <c r="AS291">
        <v>290</v>
      </c>
      <c r="AT291">
        <v>1</v>
      </c>
      <c r="AU291">
        <v>290</v>
      </c>
      <c r="AV291">
        <v>6</v>
      </c>
      <c r="AW291" t="s">
        <v>915</v>
      </c>
      <c r="AX291" t="s">
        <v>45</v>
      </c>
      <c r="AY291" t="s">
        <v>501</v>
      </c>
      <c r="AZ291">
        <v>857</v>
      </c>
      <c r="BA291" t="s">
        <v>916</v>
      </c>
      <c r="BB291">
        <v>914</v>
      </c>
      <c r="BC291" t="s">
        <v>917</v>
      </c>
      <c r="BD291">
        <v>2000</v>
      </c>
      <c r="BE291">
        <v>0</v>
      </c>
      <c r="BF291">
        <v>143.0002289</v>
      </c>
    </row>
    <row r="292" spans="1:58" x14ac:dyDescent="0.2">
      <c r="A292">
        <v>291</v>
      </c>
      <c r="B292" t="s">
        <v>340</v>
      </c>
      <c r="C292">
        <v>0</v>
      </c>
      <c r="H292" t="s">
        <v>340</v>
      </c>
      <c r="I292" t="s">
        <v>45</v>
      </c>
      <c r="Q292" t="s">
        <v>340</v>
      </c>
      <c r="R292">
        <v>206.10745349999999</v>
      </c>
      <c r="S292">
        <v>6</v>
      </c>
      <c r="T292">
        <v>130</v>
      </c>
      <c r="V292">
        <v>0</v>
      </c>
      <c r="W292">
        <v>0</v>
      </c>
      <c r="X292" t="s">
        <v>340</v>
      </c>
      <c r="Y292">
        <v>-1</v>
      </c>
      <c r="Z292">
        <v>6</v>
      </c>
      <c r="AA292">
        <v>206.11</v>
      </c>
      <c r="AB292">
        <v>130</v>
      </c>
      <c r="AC292">
        <v>21.46</v>
      </c>
      <c r="AD292">
        <v>0.24</v>
      </c>
      <c r="AE292">
        <v>0.01</v>
      </c>
      <c r="AF292">
        <v>0.06</v>
      </c>
      <c r="AG292">
        <v>1</v>
      </c>
      <c r="AH292">
        <v>21.46</v>
      </c>
      <c r="AI292">
        <v>21.46</v>
      </c>
      <c r="AJ292">
        <v>21.46</v>
      </c>
      <c r="AK292">
        <v>0.24</v>
      </c>
      <c r="AL292">
        <v>0.24</v>
      </c>
      <c r="AM292">
        <v>0.24</v>
      </c>
      <c r="AN292">
        <v>0.01</v>
      </c>
      <c r="AO292">
        <v>0.01</v>
      </c>
      <c r="AP292">
        <v>0.01</v>
      </c>
      <c r="AQ292">
        <v>206.10745349999999</v>
      </c>
      <c r="AR292">
        <v>0</v>
      </c>
      <c r="AS292">
        <v>291</v>
      </c>
      <c r="AT292">
        <v>1</v>
      </c>
      <c r="AU292">
        <v>291</v>
      </c>
      <c r="AV292">
        <v>6</v>
      </c>
      <c r="AW292" t="s">
        <v>544</v>
      </c>
      <c r="AX292" t="s">
        <v>158</v>
      </c>
      <c r="AY292" t="s">
        <v>501</v>
      </c>
      <c r="AZ292">
        <v>1685</v>
      </c>
      <c r="BA292" t="s">
        <v>545</v>
      </c>
      <c r="BB292">
        <v>941</v>
      </c>
      <c r="BC292" t="s">
        <v>546</v>
      </c>
      <c r="BD292">
        <v>1950</v>
      </c>
      <c r="BE292">
        <v>0</v>
      </c>
      <c r="BF292">
        <v>341.4413098</v>
      </c>
    </row>
    <row r="293" spans="1:58" x14ac:dyDescent="0.2">
      <c r="A293">
        <v>292</v>
      </c>
      <c r="B293" t="s">
        <v>341</v>
      </c>
      <c r="C293">
        <v>0</v>
      </c>
      <c r="H293" t="s">
        <v>341</v>
      </c>
      <c r="I293" t="s">
        <v>45</v>
      </c>
      <c r="Q293" t="s">
        <v>341</v>
      </c>
      <c r="R293">
        <v>37.917390390000001</v>
      </c>
      <c r="S293">
        <v>6</v>
      </c>
      <c r="T293">
        <v>130</v>
      </c>
      <c r="V293">
        <v>0</v>
      </c>
      <c r="W293">
        <v>0</v>
      </c>
      <c r="X293" t="s">
        <v>341</v>
      </c>
      <c r="Y293">
        <v>-1</v>
      </c>
      <c r="Z293">
        <v>6</v>
      </c>
      <c r="AA293">
        <v>37.92</v>
      </c>
      <c r="AB293">
        <v>130</v>
      </c>
      <c r="AC293">
        <v>21.46</v>
      </c>
      <c r="AD293">
        <v>0.24</v>
      </c>
      <c r="AE293">
        <v>0</v>
      </c>
      <c r="AF293">
        <v>0.06</v>
      </c>
      <c r="AG293">
        <v>1</v>
      </c>
      <c r="AH293">
        <v>21.46</v>
      </c>
      <c r="AI293">
        <v>21.46</v>
      </c>
      <c r="AJ293">
        <v>21.46</v>
      </c>
      <c r="AK293">
        <v>0.24</v>
      </c>
      <c r="AL293">
        <v>0.24</v>
      </c>
      <c r="AM293">
        <v>0.24</v>
      </c>
      <c r="AN293">
        <v>0</v>
      </c>
      <c r="AO293">
        <v>0</v>
      </c>
      <c r="AP293">
        <v>0</v>
      </c>
      <c r="AQ293">
        <v>37.917390390000001</v>
      </c>
      <c r="AR293">
        <v>0</v>
      </c>
      <c r="AS293">
        <v>292</v>
      </c>
      <c r="AT293">
        <v>1</v>
      </c>
      <c r="AU293">
        <v>292</v>
      </c>
      <c r="AV293">
        <v>6</v>
      </c>
      <c r="AW293" t="s">
        <v>919</v>
      </c>
      <c r="AX293" t="s">
        <v>45</v>
      </c>
      <c r="AY293" t="s">
        <v>501</v>
      </c>
      <c r="AZ293">
        <v>1686</v>
      </c>
      <c r="BA293" t="s">
        <v>548</v>
      </c>
      <c r="BB293">
        <v>1687</v>
      </c>
      <c r="BC293" t="s">
        <v>550</v>
      </c>
      <c r="BD293">
        <v>1950</v>
      </c>
      <c r="BE293">
        <v>0</v>
      </c>
      <c r="BF293">
        <v>126.4767366</v>
      </c>
    </row>
    <row r="294" spans="1:58" x14ac:dyDescent="0.2">
      <c r="A294">
        <v>293</v>
      </c>
      <c r="B294" t="s">
        <v>342</v>
      </c>
      <c r="C294">
        <v>0</v>
      </c>
      <c r="H294" t="s">
        <v>342</v>
      </c>
      <c r="I294" t="s">
        <v>45</v>
      </c>
      <c r="Q294" t="s">
        <v>342</v>
      </c>
      <c r="R294">
        <v>163.4971707</v>
      </c>
      <c r="S294">
        <v>6</v>
      </c>
      <c r="T294">
        <v>130</v>
      </c>
      <c r="V294">
        <v>0</v>
      </c>
      <c r="W294">
        <v>0</v>
      </c>
      <c r="X294" t="s">
        <v>342</v>
      </c>
      <c r="Y294">
        <v>-1</v>
      </c>
      <c r="Z294">
        <v>6</v>
      </c>
      <c r="AA294">
        <v>163.5</v>
      </c>
      <c r="AB294">
        <v>130</v>
      </c>
      <c r="AC294">
        <v>21.46</v>
      </c>
      <c r="AD294">
        <v>0.24</v>
      </c>
      <c r="AE294">
        <v>0.01</v>
      </c>
      <c r="AF294">
        <v>0.06</v>
      </c>
      <c r="AG294">
        <v>1</v>
      </c>
      <c r="AH294">
        <v>21.46</v>
      </c>
      <c r="AI294">
        <v>21.46</v>
      </c>
      <c r="AJ294">
        <v>21.46</v>
      </c>
      <c r="AK294">
        <v>0.24</v>
      </c>
      <c r="AL294">
        <v>0.24</v>
      </c>
      <c r="AM294">
        <v>0.24</v>
      </c>
      <c r="AN294">
        <v>0.01</v>
      </c>
      <c r="AO294">
        <v>0.01</v>
      </c>
      <c r="AP294">
        <v>0.01</v>
      </c>
      <c r="AQ294">
        <v>163.4971707</v>
      </c>
      <c r="AR294">
        <v>0</v>
      </c>
      <c r="AS294">
        <v>293</v>
      </c>
      <c r="AT294">
        <v>1</v>
      </c>
      <c r="AU294">
        <v>293</v>
      </c>
      <c r="AV294">
        <v>6</v>
      </c>
      <c r="AW294" t="s">
        <v>549</v>
      </c>
      <c r="AX294" t="s">
        <v>45</v>
      </c>
      <c r="AY294" t="s">
        <v>501</v>
      </c>
      <c r="AZ294">
        <v>1687</v>
      </c>
      <c r="BA294" t="s">
        <v>550</v>
      </c>
      <c r="BB294">
        <v>942</v>
      </c>
      <c r="BC294" t="s">
        <v>551</v>
      </c>
      <c r="BD294">
        <v>1950</v>
      </c>
      <c r="BE294">
        <v>0</v>
      </c>
      <c r="BF294">
        <v>210.74263759999999</v>
      </c>
    </row>
    <row r="295" spans="1:58" x14ac:dyDescent="0.2">
      <c r="A295">
        <v>294</v>
      </c>
      <c r="B295" t="s">
        <v>343</v>
      </c>
      <c r="C295">
        <v>0</v>
      </c>
      <c r="H295" t="s">
        <v>343</v>
      </c>
      <c r="I295" t="s">
        <v>45</v>
      </c>
      <c r="Q295" t="s">
        <v>343</v>
      </c>
      <c r="R295">
        <v>161.68618369999999</v>
      </c>
      <c r="S295">
        <v>6</v>
      </c>
      <c r="T295">
        <v>130</v>
      </c>
      <c r="V295">
        <v>0</v>
      </c>
      <c r="W295">
        <v>0</v>
      </c>
      <c r="X295" t="s">
        <v>343</v>
      </c>
      <c r="Y295">
        <v>-1</v>
      </c>
      <c r="Z295">
        <v>6</v>
      </c>
      <c r="AA295">
        <v>161.69</v>
      </c>
      <c r="AB295">
        <v>130</v>
      </c>
      <c r="AC295">
        <v>21.46</v>
      </c>
      <c r="AD295">
        <v>0.24</v>
      </c>
      <c r="AE295">
        <v>0.01</v>
      </c>
      <c r="AF295">
        <v>0.06</v>
      </c>
      <c r="AG295">
        <v>1</v>
      </c>
      <c r="AH295">
        <v>21.46</v>
      </c>
      <c r="AI295">
        <v>21.46</v>
      </c>
      <c r="AJ295">
        <v>21.46</v>
      </c>
      <c r="AK295">
        <v>0.24</v>
      </c>
      <c r="AL295">
        <v>0.24</v>
      </c>
      <c r="AM295">
        <v>0.24</v>
      </c>
      <c r="AN295">
        <v>0.01</v>
      </c>
      <c r="AO295">
        <v>0.01</v>
      </c>
      <c r="AP295">
        <v>0.01</v>
      </c>
      <c r="AQ295">
        <v>161.68618369999999</v>
      </c>
      <c r="AR295">
        <v>0</v>
      </c>
      <c r="AS295">
        <v>294</v>
      </c>
      <c r="AT295">
        <v>1</v>
      </c>
      <c r="AU295">
        <v>294</v>
      </c>
      <c r="AV295">
        <v>6</v>
      </c>
      <c r="AW295" t="s">
        <v>920</v>
      </c>
      <c r="AX295" t="s">
        <v>45</v>
      </c>
      <c r="AY295" t="s">
        <v>501</v>
      </c>
      <c r="AZ295">
        <v>1522</v>
      </c>
      <c r="BA295" t="s">
        <v>921</v>
      </c>
      <c r="BB295">
        <v>1687</v>
      </c>
      <c r="BC295" t="s">
        <v>550</v>
      </c>
      <c r="BD295">
        <v>1950</v>
      </c>
      <c r="BE295">
        <v>0</v>
      </c>
      <c r="BF295">
        <v>128.11888039999999</v>
      </c>
    </row>
    <row r="296" spans="1:58" x14ac:dyDescent="0.2">
      <c r="A296">
        <v>295</v>
      </c>
      <c r="B296" t="s">
        <v>344</v>
      </c>
      <c r="C296">
        <v>0</v>
      </c>
      <c r="H296" t="s">
        <v>344</v>
      </c>
      <c r="I296" t="s">
        <v>45</v>
      </c>
      <c r="Q296" t="s">
        <v>344</v>
      </c>
      <c r="R296">
        <v>927.21190549999994</v>
      </c>
      <c r="S296">
        <v>6</v>
      </c>
      <c r="T296">
        <v>130</v>
      </c>
      <c r="V296">
        <v>0</v>
      </c>
      <c r="W296">
        <v>0</v>
      </c>
      <c r="X296" t="s">
        <v>344</v>
      </c>
      <c r="Y296">
        <v>-1</v>
      </c>
      <c r="Z296">
        <v>6</v>
      </c>
      <c r="AA296">
        <v>927.21</v>
      </c>
      <c r="AB296">
        <v>130</v>
      </c>
      <c r="AC296">
        <v>5.75</v>
      </c>
      <c r="AD296">
        <v>7.0000000000000007E-2</v>
      </c>
      <c r="AE296">
        <v>0</v>
      </c>
      <c r="AF296">
        <v>0.01</v>
      </c>
      <c r="AG296">
        <v>1</v>
      </c>
      <c r="AH296">
        <v>5.75</v>
      </c>
      <c r="AI296">
        <v>5.75</v>
      </c>
      <c r="AJ296">
        <v>5.75</v>
      </c>
      <c r="AK296">
        <v>7.0000000000000007E-2</v>
      </c>
      <c r="AL296">
        <v>7.0000000000000007E-2</v>
      </c>
      <c r="AM296">
        <v>7.0000000000000007E-2</v>
      </c>
      <c r="AN296">
        <v>0</v>
      </c>
      <c r="AO296">
        <v>0</v>
      </c>
      <c r="AP296">
        <v>0</v>
      </c>
      <c r="AQ296">
        <v>927.21190549999994</v>
      </c>
      <c r="AR296">
        <v>0</v>
      </c>
      <c r="AS296">
        <v>295</v>
      </c>
      <c r="AT296">
        <v>1</v>
      </c>
      <c r="AU296">
        <v>295</v>
      </c>
      <c r="AV296">
        <v>6</v>
      </c>
      <c r="AW296" t="s">
        <v>922</v>
      </c>
      <c r="AX296" t="s">
        <v>45</v>
      </c>
      <c r="AY296" t="s">
        <v>501</v>
      </c>
      <c r="AZ296">
        <v>942</v>
      </c>
      <c r="BA296" t="s">
        <v>551</v>
      </c>
      <c r="BB296">
        <v>1021</v>
      </c>
      <c r="BC296" t="s">
        <v>923</v>
      </c>
      <c r="BD296">
        <v>1980</v>
      </c>
      <c r="BE296">
        <v>0</v>
      </c>
      <c r="BF296">
        <v>797.77475100000004</v>
      </c>
    </row>
    <row r="297" spans="1:58" x14ac:dyDescent="0.2">
      <c r="A297">
        <v>296</v>
      </c>
      <c r="B297" t="s">
        <v>345</v>
      </c>
      <c r="C297">
        <v>0</v>
      </c>
      <c r="H297" t="s">
        <v>345</v>
      </c>
      <c r="I297" t="s">
        <v>45</v>
      </c>
      <c r="Q297" t="s">
        <v>345</v>
      </c>
      <c r="R297">
        <v>17.547204069999999</v>
      </c>
      <c r="S297">
        <v>6</v>
      </c>
      <c r="T297">
        <v>130</v>
      </c>
      <c r="V297">
        <v>0</v>
      </c>
      <c r="W297">
        <v>0</v>
      </c>
      <c r="X297" t="s">
        <v>345</v>
      </c>
      <c r="Y297">
        <v>-1</v>
      </c>
      <c r="Z297">
        <v>6</v>
      </c>
      <c r="AA297">
        <v>17.55</v>
      </c>
      <c r="AB297">
        <v>130</v>
      </c>
      <c r="AC297">
        <v>5.75</v>
      </c>
      <c r="AD297">
        <v>7.0000000000000007E-2</v>
      </c>
      <c r="AE297">
        <v>0</v>
      </c>
      <c r="AF297">
        <v>0</v>
      </c>
      <c r="AG297">
        <v>1</v>
      </c>
      <c r="AH297">
        <v>5.75</v>
      </c>
      <c r="AI297">
        <v>5.75</v>
      </c>
      <c r="AJ297">
        <v>5.75</v>
      </c>
      <c r="AK297">
        <v>7.0000000000000007E-2</v>
      </c>
      <c r="AL297">
        <v>7.0000000000000007E-2</v>
      </c>
      <c r="AM297">
        <v>7.0000000000000007E-2</v>
      </c>
      <c r="AN297">
        <v>0</v>
      </c>
      <c r="AO297">
        <v>0</v>
      </c>
      <c r="AP297">
        <v>0</v>
      </c>
      <c r="AQ297">
        <v>17.547204069999999</v>
      </c>
      <c r="AR297">
        <v>0</v>
      </c>
      <c r="AS297">
        <v>296</v>
      </c>
      <c r="AT297">
        <v>1</v>
      </c>
      <c r="AU297">
        <v>296</v>
      </c>
      <c r="AV297">
        <v>6</v>
      </c>
      <c r="AW297" t="s">
        <v>924</v>
      </c>
      <c r="AX297" t="s">
        <v>45</v>
      </c>
      <c r="AY297" t="s">
        <v>501</v>
      </c>
      <c r="AZ297">
        <v>928</v>
      </c>
      <c r="BA297" t="s">
        <v>925</v>
      </c>
      <c r="BB297">
        <v>1716</v>
      </c>
      <c r="BC297" t="s">
        <v>926</v>
      </c>
      <c r="BD297">
        <v>2000</v>
      </c>
      <c r="BE297">
        <v>0</v>
      </c>
      <c r="BF297">
        <v>210.29184950000001</v>
      </c>
    </row>
    <row r="298" spans="1:58" x14ac:dyDescent="0.2">
      <c r="A298">
        <v>297</v>
      </c>
      <c r="B298" t="s">
        <v>346</v>
      </c>
      <c r="C298">
        <v>0</v>
      </c>
      <c r="H298" t="s">
        <v>346</v>
      </c>
      <c r="I298" t="s">
        <v>45</v>
      </c>
      <c r="Q298" t="s">
        <v>346</v>
      </c>
      <c r="R298">
        <v>194.2323653</v>
      </c>
      <c r="S298">
        <v>6</v>
      </c>
      <c r="T298">
        <v>130</v>
      </c>
      <c r="V298">
        <v>0</v>
      </c>
      <c r="W298">
        <v>0</v>
      </c>
      <c r="X298" t="s">
        <v>346</v>
      </c>
      <c r="Y298">
        <v>1</v>
      </c>
      <c r="Z298">
        <v>6</v>
      </c>
      <c r="AA298">
        <v>194.23</v>
      </c>
      <c r="AB298">
        <v>130</v>
      </c>
      <c r="AC298">
        <v>7.47</v>
      </c>
      <c r="AD298">
        <v>0.08</v>
      </c>
      <c r="AE298">
        <v>0</v>
      </c>
      <c r="AF298">
        <v>0.01</v>
      </c>
      <c r="AG298">
        <v>1</v>
      </c>
      <c r="AH298">
        <v>7.47</v>
      </c>
      <c r="AI298">
        <v>7.47</v>
      </c>
      <c r="AJ298">
        <v>7.47</v>
      </c>
      <c r="AK298">
        <v>0.08</v>
      </c>
      <c r="AL298">
        <v>0.08</v>
      </c>
      <c r="AM298">
        <v>0.08</v>
      </c>
      <c r="AN298">
        <v>0</v>
      </c>
      <c r="AO298">
        <v>0</v>
      </c>
      <c r="AP298">
        <v>0</v>
      </c>
      <c r="AQ298">
        <v>194.2323653</v>
      </c>
      <c r="AR298">
        <v>0</v>
      </c>
      <c r="AS298">
        <v>297</v>
      </c>
      <c r="AT298">
        <v>1</v>
      </c>
      <c r="AU298">
        <v>297</v>
      </c>
      <c r="AV298">
        <v>6</v>
      </c>
      <c r="AW298" t="s">
        <v>924</v>
      </c>
      <c r="AX298" t="s">
        <v>45</v>
      </c>
      <c r="AY298" t="s">
        <v>501</v>
      </c>
      <c r="AZ298">
        <v>928</v>
      </c>
      <c r="BA298" t="s">
        <v>925</v>
      </c>
      <c r="BB298">
        <v>1716</v>
      </c>
      <c r="BC298" t="s">
        <v>926</v>
      </c>
      <c r="BD298">
        <v>2000</v>
      </c>
      <c r="BE298">
        <v>0</v>
      </c>
      <c r="BF298">
        <v>210.29184950000001</v>
      </c>
    </row>
    <row r="299" spans="1:58" x14ac:dyDescent="0.2">
      <c r="A299">
        <v>298</v>
      </c>
      <c r="B299" t="s">
        <v>347</v>
      </c>
      <c r="C299">
        <v>0</v>
      </c>
      <c r="H299" t="s">
        <v>347</v>
      </c>
      <c r="I299" t="s">
        <v>45</v>
      </c>
      <c r="Q299" t="s">
        <v>347</v>
      </c>
      <c r="R299">
        <v>36.315487099999999</v>
      </c>
      <c r="S299">
        <v>6</v>
      </c>
      <c r="T299">
        <v>130</v>
      </c>
      <c r="V299">
        <v>0</v>
      </c>
      <c r="W299">
        <v>0</v>
      </c>
      <c r="X299" t="s">
        <v>347</v>
      </c>
      <c r="Y299">
        <v>1</v>
      </c>
      <c r="Z299">
        <v>6</v>
      </c>
      <c r="AA299">
        <v>36.32</v>
      </c>
      <c r="AB299">
        <v>130</v>
      </c>
      <c r="AC299">
        <v>7.47</v>
      </c>
      <c r="AD299">
        <v>0.08</v>
      </c>
      <c r="AE299">
        <v>0</v>
      </c>
      <c r="AF299">
        <v>0.01</v>
      </c>
      <c r="AG299">
        <v>1</v>
      </c>
      <c r="AH299">
        <v>7.47</v>
      </c>
      <c r="AI299">
        <v>7.47</v>
      </c>
      <c r="AJ299">
        <v>7.47</v>
      </c>
      <c r="AK299">
        <v>0.08</v>
      </c>
      <c r="AL299">
        <v>0.08</v>
      </c>
      <c r="AM299">
        <v>0.08</v>
      </c>
      <c r="AN299">
        <v>0</v>
      </c>
      <c r="AO299">
        <v>0</v>
      </c>
      <c r="AP299">
        <v>0</v>
      </c>
      <c r="AQ299">
        <v>36.315487099999999</v>
      </c>
      <c r="AR299">
        <v>0</v>
      </c>
      <c r="AS299">
        <v>298</v>
      </c>
      <c r="AT299">
        <v>1</v>
      </c>
      <c r="AU299">
        <v>298</v>
      </c>
      <c r="AV299">
        <v>6</v>
      </c>
      <c r="AW299" t="s">
        <v>664</v>
      </c>
      <c r="AX299" t="s">
        <v>45</v>
      </c>
      <c r="AY299" t="s">
        <v>501</v>
      </c>
      <c r="AZ299">
        <v>1719</v>
      </c>
      <c r="BA299" t="s">
        <v>665</v>
      </c>
      <c r="BB299">
        <v>1717</v>
      </c>
      <c r="BC299" t="s">
        <v>666</v>
      </c>
      <c r="BD299">
        <v>2000</v>
      </c>
      <c r="BE299">
        <v>0</v>
      </c>
      <c r="BF299">
        <v>162.61892219999999</v>
      </c>
    </row>
    <row r="300" spans="1:58" x14ac:dyDescent="0.2">
      <c r="A300">
        <v>299</v>
      </c>
      <c r="B300" t="s">
        <v>348</v>
      </c>
      <c r="C300">
        <v>0</v>
      </c>
      <c r="H300" t="s">
        <v>348</v>
      </c>
      <c r="I300" t="s">
        <v>45</v>
      </c>
      <c r="Q300" t="s">
        <v>348</v>
      </c>
      <c r="R300">
        <v>172.9250485</v>
      </c>
      <c r="S300">
        <v>6</v>
      </c>
      <c r="T300">
        <v>130</v>
      </c>
      <c r="V300">
        <v>0</v>
      </c>
      <c r="W300">
        <v>0</v>
      </c>
      <c r="X300" t="s">
        <v>348</v>
      </c>
      <c r="Y300">
        <v>1</v>
      </c>
      <c r="Z300">
        <v>6</v>
      </c>
      <c r="AA300">
        <v>172.93</v>
      </c>
      <c r="AB300">
        <v>130</v>
      </c>
      <c r="AC300">
        <v>7.47</v>
      </c>
      <c r="AD300">
        <v>0.08</v>
      </c>
      <c r="AE300">
        <v>0</v>
      </c>
      <c r="AF300">
        <v>0.01</v>
      </c>
      <c r="AG300">
        <v>1</v>
      </c>
      <c r="AH300">
        <v>7.47</v>
      </c>
      <c r="AI300">
        <v>7.47</v>
      </c>
      <c r="AJ300">
        <v>7.47</v>
      </c>
      <c r="AK300">
        <v>0.08</v>
      </c>
      <c r="AL300">
        <v>0.08</v>
      </c>
      <c r="AM300">
        <v>0.08</v>
      </c>
      <c r="AN300">
        <v>0</v>
      </c>
      <c r="AO300">
        <v>0</v>
      </c>
      <c r="AP300">
        <v>0</v>
      </c>
      <c r="AQ300">
        <v>172.9250485</v>
      </c>
      <c r="AR300">
        <v>0</v>
      </c>
      <c r="AS300">
        <v>299</v>
      </c>
      <c r="AT300">
        <v>1</v>
      </c>
      <c r="AU300">
        <v>299</v>
      </c>
      <c r="AV300">
        <v>6</v>
      </c>
      <c r="AW300" t="s">
        <v>667</v>
      </c>
      <c r="AX300" t="s">
        <v>45</v>
      </c>
      <c r="AY300" t="s">
        <v>501</v>
      </c>
      <c r="AZ300">
        <v>1718</v>
      </c>
      <c r="BA300" t="s">
        <v>668</v>
      </c>
      <c r="BB300">
        <v>993</v>
      </c>
      <c r="BC300" t="s">
        <v>669</v>
      </c>
      <c r="BD300">
        <v>2000</v>
      </c>
      <c r="BE300">
        <v>0</v>
      </c>
      <c r="BF300">
        <v>178.86703679999999</v>
      </c>
    </row>
    <row r="301" spans="1:58" x14ac:dyDescent="0.2">
      <c r="A301">
        <v>300</v>
      </c>
      <c r="B301" t="s">
        <v>349</v>
      </c>
      <c r="C301">
        <v>0</v>
      </c>
      <c r="H301" t="s">
        <v>349</v>
      </c>
      <c r="I301" t="s">
        <v>45</v>
      </c>
      <c r="Q301" t="s">
        <v>349</v>
      </c>
      <c r="R301">
        <v>22.914202639999999</v>
      </c>
      <c r="S301">
        <v>6</v>
      </c>
      <c r="T301">
        <v>130</v>
      </c>
      <c r="V301">
        <v>0</v>
      </c>
      <c r="W301">
        <v>0</v>
      </c>
      <c r="X301" t="s">
        <v>349</v>
      </c>
      <c r="Y301">
        <v>1</v>
      </c>
      <c r="Z301">
        <v>6</v>
      </c>
      <c r="AA301">
        <v>22.91</v>
      </c>
      <c r="AB301">
        <v>130</v>
      </c>
      <c r="AC301">
        <v>7.47</v>
      </c>
      <c r="AD301">
        <v>0.08</v>
      </c>
      <c r="AE301">
        <v>0</v>
      </c>
      <c r="AF301">
        <v>0.01</v>
      </c>
      <c r="AG301">
        <v>1</v>
      </c>
      <c r="AH301">
        <v>7.47</v>
      </c>
      <c r="AI301">
        <v>7.47</v>
      </c>
      <c r="AJ301">
        <v>7.47</v>
      </c>
      <c r="AK301">
        <v>0.08</v>
      </c>
      <c r="AL301">
        <v>0.08</v>
      </c>
      <c r="AM301">
        <v>0.08</v>
      </c>
      <c r="AN301">
        <v>0</v>
      </c>
      <c r="AO301">
        <v>0</v>
      </c>
      <c r="AP301">
        <v>0</v>
      </c>
      <c r="AQ301">
        <v>22.914202639999999</v>
      </c>
      <c r="AR301">
        <v>0</v>
      </c>
      <c r="AS301">
        <v>300</v>
      </c>
      <c r="AT301">
        <v>1</v>
      </c>
      <c r="AU301">
        <v>300</v>
      </c>
      <c r="AV301">
        <v>6</v>
      </c>
      <c r="AW301" t="s">
        <v>667</v>
      </c>
      <c r="AX301" t="s">
        <v>45</v>
      </c>
      <c r="AY301" t="s">
        <v>501</v>
      </c>
      <c r="AZ301">
        <v>1718</v>
      </c>
      <c r="BA301" t="s">
        <v>668</v>
      </c>
      <c r="BB301">
        <v>993</v>
      </c>
      <c r="BC301" t="s">
        <v>669</v>
      </c>
      <c r="BD301">
        <v>2000</v>
      </c>
      <c r="BE301">
        <v>0</v>
      </c>
      <c r="BF301">
        <v>178.86703679999999</v>
      </c>
    </row>
    <row r="302" spans="1:58" x14ac:dyDescent="0.2">
      <c r="A302">
        <v>301</v>
      </c>
      <c r="B302" t="s">
        <v>350</v>
      </c>
      <c r="C302">
        <v>0</v>
      </c>
      <c r="H302" t="s">
        <v>350</v>
      </c>
      <c r="I302" t="s">
        <v>45</v>
      </c>
      <c r="Q302" t="s">
        <v>350</v>
      </c>
      <c r="R302">
        <v>188.75074069999999</v>
      </c>
      <c r="S302">
        <v>6</v>
      </c>
      <c r="T302">
        <v>130</v>
      </c>
      <c r="V302">
        <v>0</v>
      </c>
      <c r="W302">
        <v>0</v>
      </c>
      <c r="X302" t="s">
        <v>350</v>
      </c>
      <c r="Y302">
        <v>1</v>
      </c>
      <c r="Z302">
        <v>6</v>
      </c>
      <c r="AA302">
        <v>188.75</v>
      </c>
      <c r="AB302">
        <v>130</v>
      </c>
      <c r="AC302">
        <v>7.47</v>
      </c>
      <c r="AD302">
        <v>0.08</v>
      </c>
      <c r="AE302">
        <v>0</v>
      </c>
      <c r="AF302">
        <v>0.01</v>
      </c>
      <c r="AG302">
        <v>1</v>
      </c>
      <c r="AH302">
        <v>7.47</v>
      </c>
      <c r="AI302">
        <v>7.47</v>
      </c>
      <c r="AJ302">
        <v>7.47</v>
      </c>
      <c r="AK302">
        <v>0.08</v>
      </c>
      <c r="AL302">
        <v>0.08</v>
      </c>
      <c r="AM302">
        <v>0.08</v>
      </c>
      <c r="AN302">
        <v>0</v>
      </c>
      <c r="AO302">
        <v>0</v>
      </c>
      <c r="AP302">
        <v>0</v>
      </c>
      <c r="AQ302">
        <v>188.75074069999999</v>
      </c>
      <c r="AR302">
        <v>0</v>
      </c>
      <c r="AS302">
        <v>301</v>
      </c>
      <c r="AT302">
        <v>1</v>
      </c>
      <c r="AU302">
        <v>301</v>
      </c>
      <c r="AV302">
        <v>6</v>
      </c>
      <c r="AW302" t="s">
        <v>927</v>
      </c>
      <c r="AX302" t="s">
        <v>45</v>
      </c>
      <c r="AY302" t="s">
        <v>501</v>
      </c>
      <c r="AZ302">
        <v>993</v>
      </c>
      <c r="BA302" t="s">
        <v>669</v>
      </c>
      <c r="BB302">
        <v>1720</v>
      </c>
      <c r="BC302" t="s">
        <v>671</v>
      </c>
      <c r="BD302">
        <v>2000</v>
      </c>
      <c r="BE302">
        <v>0</v>
      </c>
      <c r="BF302">
        <v>250.64074650000001</v>
      </c>
    </row>
    <row r="303" spans="1:58" x14ac:dyDescent="0.2">
      <c r="A303">
        <v>302</v>
      </c>
      <c r="B303" t="s">
        <v>351</v>
      </c>
      <c r="C303">
        <v>0</v>
      </c>
      <c r="H303" t="s">
        <v>351</v>
      </c>
      <c r="I303" t="s">
        <v>45</v>
      </c>
      <c r="Q303" t="s">
        <v>351</v>
      </c>
      <c r="R303">
        <v>889.72150580000005</v>
      </c>
      <c r="S303">
        <v>6</v>
      </c>
      <c r="T303">
        <v>130</v>
      </c>
      <c r="V303">
        <v>0</v>
      </c>
      <c r="W303">
        <v>0</v>
      </c>
      <c r="X303" t="s">
        <v>351</v>
      </c>
      <c r="Y303">
        <v>1</v>
      </c>
      <c r="Z303">
        <v>6</v>
      </c>
      <c r="AA303">
        <v>889.72</v>
      </c>
      <c r="AB303">
        <v>130</v>
      </c>
      <c r="AC303">
        <v>4.13</v>
      </c>
      <c r="AD303">
        <v>0.05</v>
      </c>
      <c r="AE303">
        <v>0</v>
      </c>
      <c r="AF303">
        <v>0</v>
      </c>
      <c r="AG303">
        <v>1</v>
      </c>
      <c r="AH303">
        <v>4.13</v>
      </c>
      <c r="AI303">
        <v>4.13</v>
      </c>
      <c r="AJ303">
        <v>4.13</v>
      </c>
      <c r="AK303">
        <v>0.05</v>
      </c>
      <c r="AL303">
        <v>0.05</v>
      </c>
      <c r="AM303">
        <v>0.05</v>
      </c>
      <c r="AN303">
        <v>0</v>
      </c>
      <c r="AO303">
        <v>0</v>
      </c>
      <c r="AP303">
        <v>0</v>
      </c>
      <c r="AQ303">
        <v>889.72150580000005</v>
      </c>
      <c r="AR303">
        <v>0</v>
      </c>
      <c r="AS303">
        <v>302</v>
      </c>
      <c r="AT303">
        <v>1</v>
      </c>
      <c r="AU303">
        <v>302</v>
      </c>
      <c r="AV303">
        <v>6</v>
      </c>
      <c r="AW303" t="s">
        <v>673</v>
      </c>
      <c r="AX303" t="s">
        <v>45</v>
      </c>
      <c r="AY303" t="s">
        <v>501</v>
      </c>
      <c r="AZ303">
        <v>1721</v>
      </c>
      <c r="BA303" t="s">
        <v>672</v>
      </c>
      <c r="BB303">
        <v>1022</v>
      </c>
      <c r="BC303" t="s">
        <v>674</v>
      </c>
      <c r="BD303">
        <v>2000</v>
      </c>
      <c r="BE303">
        <v>0</v>
      </c>
      <c r="BF303">
        <v>94.663847709999999</v>
      </c>
    </row>
    <row r="304" spans="1:58" x14ac:dyDescent="0.2">
      <c r="A304">
        <v>303</v>
      </c>
      <c r="B304" t="s">
        <v>352</v>
      </c>
      <c r="C304">
        <v>0</v>
      </c>
      <c r="H304" t="s">
        <v>352</v>
      </c>
      <c r="I304" t="s">
        <v>45</v>
      </c>
      <c r="Q304" t="s">
        <v>352</v>
      </c>
      <c r="R304">
        <v>37.876470670000003</v>
      </c>
      <c r="S304">
        <v>6</v>
      </c>
      <c r="T304">
        <v>130</v>
      </c>
      <c r="V304">
        <v>0</v>
      </c>
      <c r="W304">
        <v>0</v>
      </c>
      <c r="X304" t="s">
        <v>352</v>
      </c>
      <c r="Y304">
        <v>1</v>
      </c>
      <c r="Z304">
        <v>6</v>
      </c>
      <c r="AA304">
        <v>37.880000000000003</v>
      </c>
      <c r="AB304">
        <v>130</v>
      </c>
      <c r="AC304">
        <v>7.33</v>
      </c>
      <c r="AD304">
        <v>0.08</v>
      </c>
      <c r="AE304">
        <v>0</v>
      </c>
      <c r="AF304">
        <v>0.01</v>
      </c>
      <c r="AG304">
        <v>1</v>
      </c>
      <c r="AH304">
        <v>7.33</v>
      </c>
      <c r="AI304">
        <v>7.33</v>
      </c>
      <c r="AJ304">
        <v>7.33</v>
      </c>
      <c r="AK304">
        <v>0.08</v>
      </c>
      <c r="AL304">
        <v>0.08</v>
      </c>
      <c r="AM304">
        <v>0.08</v>
      </c>
      <c r="AN304">
        <v>0</v>
      </c>
      <c r="AO304">
        <v>0</v>
      </c>
      <c r="AP304">
        <v>0</v>
      </c>
      <c r="AQ304">
        <v>37.876470670000003</v>
      </c>
      <c r="AR304">
        <v>0</v>
      </c>
      <c r="AS304">
        <v>303</v>
      </c>
      <c r="AT304">
        <v>1</v>
      </c>
      <c r="AU304">
        <v>303</v>
      </c>
      <c r="AV304">
        <v>6</v>
      </c>
      <c r="AW304" t="s">
        <v>928</v>
      </c>
      <c r="AX304" t="s">
        <v>45</v>
      </c>
      <c r="AY304" t="s">
        <v>501</v>
      </c>
      <c r="AZ304">
        <v>1022</v>
      </c>
      <c r="BA304" t="s">
        <v>674</v>
      </c>
      <c r="BB304">
        <v>1725</v>
      </c>
      <c r="BC304" t="s">
        <v>684</v>
      </c>
      <c r="BD304">
        <v>2000</v>
      </c>
      <c r="BE304">
        <v>0</v>
      </c>
      <c r="BF304">
        <v>965.32086830000003</v>
      </c>
    </row>
    <row r="305" spans="1:58" x14ac:dyDescent="0.2">
      <c r="A305">
        <v>304</v>
      </c>
      <c r="B305" t="s">
        <v>353</v>
      </c>
      <c r="C305">
        <v>0</v>
      </c>
      <c r="H305" t="s">
        <v>353</v>
      </c>
      <c r="I305" t="s">
        <v>45</v>
      </c>
      <c r="Q305" t="s">
        <v>353</v>
      </c>
      <c r="R305">
        <v>910.85666160000005</v>
      </c>
      <c r="S305">
        <v>6</v>
      </c>
      <c r="T305">
        <v>130</v>
      </c>
      <c r="V305">
        <v>0</v>
      </c>
      <c r="W305">
        <v>0</v>
      </c>
      <c r="X305" t="s">
        <v>353</v>
      </c>
      <c r="Y305">
        <v>1</v>
      </c>
      <c r="Z305">
        <v>6</v>
      </c>
      <c r="AA305">
        <v>910.86</v>
      </c>
      <c r="AB305">
        <v>130</v>
      </c>
      <c r="AC305">
        <v>7.33</v>
      </c>
      <c r="AD305">
        <v>0.08</v>
      </c>
      <c r="AE305">
        <v>0.01</v>
      </c>
      <c r="AF305">
        <v>0.01</v>
      </c>
      <c r="AG305">
        <v>1</v>
      </c>
      <c r="AH305">
        <v>7.33</v>
      </c>
      <c r="AI305">
        <v>7.33</v>
      </c>
      <c r="AJ305">
        <v>7.33</v>
      </c>
      <c r="AK305">
        <v>0.08</v>
      </c>
      <c r="AL305">
        <v>0.08</v>
      </c>
      <c r="AM305">
        <v>0.08</v>
      </c>
      <c r="AN305">
        <v>0.01</v>
      </c>
      <c r="AO305">
        <v>0.01</v>
      </c>
      <c r="AP305">
        <v>0.01</v>
      </c>
      <c r="AQ305">
        <v>910.85666160000005</v>
      </c>
      <c r="AR305">
        <v>0</v>
      </c>
      <c r="AS305">
        <v>304</v>
      </c>
      <c r="AT305">
        <v>1</v>
      </c>
      <c r="AU305">
        <v>304</v>
      </c>
      <c r="AV305">
        <v>6</v>
      </c>
      <c r="AW305" t="s">
        <v>929</v>
      </c>
      <c r="AX305" t="s">
        <v>45</v>
      </c>
      <c r="AY305" t="s">
        <v>501</v>
      </c>
      <c r="AZ305">
        <v>1570</v>
      </c>
      <c r="BA305" t="s">
        <v>930</v>
      </c>
      <c r="BB305">
        <v>1725</v>
      </c>
      <c r="BC305" t="s">
        <v>684</v>
      </c>
      <c r="BD305">
        <v>2000</v>
      </c>
      <c r="BE305">
        <v>0</v>
      </c>
      <c r="BF305">
        <v>56.854060850000003</v>
      </c>
    </row>
    <row r="306" spans="1:58" x14ac:dyDescent="0.2">
      <c r="A306">
        <v>305</v>
      </c>
      <c r="B306" t="s">
        <v>354</v>
      </c>
      <c r="C306">
        <v>0</v>
      </c>
      <c r="H306" t="s">
        <v>354</v>
      </c>
      <c r="I306" t="s">
        <v>45</v>
      </c>
      <c r="Q306" t="s">
        <v>354</v>
      </c>
      <c r="R306">
        <v>496.55818010000002</v>
      </c>
      <c r="S306">
        <v>6</v>
      </c>
      <c r="T306">
        <v>130</v>
      </c>
      <c r="V306">
        <v>0</v>
      </c>
      <c r="W306">
        <v>0</v>
      </c>
      <c r="X306" t="s">
        <v>354</v>
      </c>
      <c r="Y306">
        <v>1</v>
      </c>
      <c r="Z306">
        <v>6</v>
      </c>
      <c r="AA306">
        <v>496.56</v>
      </c>
      <c r="AB306">
        <v>130</v>
      </c>
      <c r="AC306">
        <v>6.91</v>
      </c>
      <c r="AD306">
        <v>0.08</v>
      </c>
      <c r="AE306">
        <v>0</v>
      </c>
      <c r="AF306">
        <v>0.01</v>
      </c>
      <c r="AG306">
        <v>1</v>
      </c>
      <c r="AH306">
        <v>6.91</v>
      </c>
      <c r="AI306">
        <v>6.91</v>
      </c>
      <c r="AJ306">
        <v>6.91</v>
      </c>
      <c r="AK306">
        <v>0.08</v>
      </c>
      <c r="AL306">
        <v>0.08</v>
      </c>
      <c r="AM306">
        <v>0.08</v>
      </c>
      <c r="AN306">
        <v>0</v>
      </c>
      <c r="AO306">
        <v>0</v>
      </c>
      <c r="AP306">
        <v>0</v>
      </c>
      <c r="AQ306">
        <v>496.55818010000002</v>
      </c>
      <c r="AR306">
        <v>0</v>
      </c>
      <c r="AS306">
        <v>305</v>
      </c>
      <c r="AT306">
        <v>1</v>
      </c>
      <c r="AU306">
        <v>305</v>
      </c>
      <c r="AV306">
        <v>6</v>
      </c>
      <c r="AW306" t="s">
        <v>683</v>
      </c>
      <c r="AX306" t="s">
        <v>45</v>
      </c>
      <c r="AY306" t="s">
        <v>501</v>
      </c>
      <c r="AZ306">
        <v>1725</v>
      </c>
      <c r="BA306" t="s">
        <v>684</v>
      </c>
      <c r="BB306">
        <v>1724</v>
      </c>
      <c r="BC306" t="s">
        <v>682</v>
      </c>
      <c r="BD306">
        <v>2000</v>
      </c>
      <c r="BE306">
        <v>0</v>
      </c>
      <c r="BF306">
        <v>492.81012629999998</v>
      </c>
    </row>
    <row r="307" spans="1:58" x14ac:dyDescent="0.2">
      <c r="A307">
        <v>306</v>
      </c>
      <c r="B307" t="s">
        <v>355</v>
      </c>
      <c r="C307">
        <v>0</v>
      </c>
      <c r="H307" t="s">
        <v>355</v>
      </c>
      <c r="I307" t="s">
        <v>45</v>
      </c>
      <c r="Q307" t="s">
        <v>355</v>
      </c>
      <c r="R307">
        <v>24.592810660000001</v>
      </c>
      <c r="S307">
        <v>6</v>
      </c>
      <c r="T307">
        <v>130</v>
      </c>
      <c r="V307">
        <v>0</v>
      </c>
      <c r="W307">
        <v>0</v>
      </c>
      <c r="X307" t="s">
        <v>355</v>
      </c>
      <c r="Y307">
        <v>1</v>
      </c>
      <c r="Z307">
        <v>6</v>
      </c>
      <c r="AA307">
        <v>24.59</v>
      </c>
      <c r="AB307">
        <v>130</v>
      </c>
      <c r="AC307">
        <v>4.83</v>
      </c>
      <c r="AD307">
        <v>0.05</v>
      </c>
      <c r="AE307">
        <v>0</v>
      </c>
      <c r="AF307">
        <v>0</v>
      </c>
      <c r="AG307">
        <v>1</v>
      </c>
      <c r="AH307">
        <v>4.83</v>
      </c>
      <c r="AI307">
        <v>4.83</v>
      </c>
      <c r="AJ307">
        <v>4.83</v>
      </c>
      <c r="AK307">
        <v>0.05</v>
      </c>
      <c r="AL307">
        <v>0.05</v>
      </c>
      <c r="AM307">
        <v>0.05</v>
      </c>
      <c r="AN307">
        <v>0</v>
      </c>
      <c r="AO307">
        <v>0</v>
      </c>
      <c r="AP307">
        <v>0</v>
      </c>
      <c r="AQ307">
        <v>24.592810660000001</v>
      </c>
      <c r="AR307">
        <v>0</v>
      </c>
      <c r="AS307">
        <v>306</v>
      </c>
      <c r="AT307">
        <v>1</v>
      </c>
      <c r="AU307">
        <v>306</v>
      </c>
      <c r="AV307">
        <v>6</v>
      </c>
      <c r="AW307" t="s">
        <v>681</v>
      </c>
      <c r="AX307" t="s">
        <v>45</v>
      </c>
      <c r="AY307" t="s">
        <v>501</v>
      </c>
      <c r="AZ307">
        <v>1724</v>
      </c>
      <c r="BA307" t="s">
        <v>682</v>
      </c>
      <c r="BB307">
        <v>1033</v>
      </c>
      <c r="BC307" t="s">
        <v>680</v>
      </c>
      <c r="BD307">
        <v>1980</v>
      </c>
      <c r="BE307">
        <v>0</v>
      </c>
      <c r="BF307">
        <v>72.567902509999996</v>
      </c>
    </row>
    <row r="308" spans="1:58" x14ac:dyDescent="0.2">
      <c r="A308">
        <v>307</v>
      </c>
      <c r="B308" t="s">
        <v>356</v>
      </c>
      <c r="C308">
        <v>0</v>
      </c>
      <c r="H308" t="s">
        <v>356</v>
      </c>
      <c r="I308" t="s">
        <v>45</v>
      </c>
      <c r="Q308" t="s">
        <v>356</v>
      </c>
      <c r="R308">
        <v>34.098851430000003</v>
      </c>
      <c r="S308">
        <v>6</v>
      </c>
      <c r="T308">
        <v>130</v>
      </c>
      <c r="V308">
        <v>0</v>
      </c>
      <c r="W308">
        <v>0</v>
      </c>
      <c r="X308" t="s">
        <v>356</v>
      </c>
      <c r="Y308">
        <v>1</v>
      </c>
      <c r="Z308">
        <v>6</v>
      </c>
      <c r="AA308">
        <v>34.1</v>
      </c>
      <c r="AB308">
        <v>130</v>
      </c>
      <c r="AC308">
        <v>4.83</v>
      </c>
      <c r="AD308">
        <v>0.05</v>
      </c>
      <c r="AE308">
        <v>0</v>
      </c>
      <c r="AF308">
        <v>0</v>
      </c>
      <c r="AG308">
        <v>1</v>
      </c>
      <c r="AH308">
        <v>4.83</v>
      </c>
      <c r="AI308">
        <v>4.83</v>
      </c>
      <c r="AJ308">
        <v>4.83</v>
      </c>
      <c r="AK308">
        <v>0.05</v>
      </c>
      <c r="AL308">
        <v>0.05</v>
      </c>
      <c r="AM308">
        <v>0.05</v>
      </c>
      <c r="AN308">
        <v>0</v>
      </c>
      <c r="AO308">
        <v>0</v>
      </c>
      <c r="AP308">
        <v>0</v>
      </c>
      <c r="AQ308">
        <v>34.098851430000003</v>
      </c>
      <c r="AR308">
        <v>0</v>
      </c>
      <c r="AS308">
        <v>307</v>
      </c>
      <c r="AT308">
        <v>1</v>
      </c>
      <c r="AU308">
        <v>307</v>
      </c>
      <c r="AV308">
        <v>6</v>
      </c>
      <c r="AW308" t="s">
        <v>678</v>
      </c>
      <c r="AX308" t="s">
        <v>45</v>
      </c>
      <c r="AY308" t="s">
        <v>501</v>
      </c>
      <c r="AZ308">
        <v>1723</v>
      </c>
      <c r="BA308" t="s">
        <v>679</v>
      </c>
      <c r="BB308">
        <v>1033</v>
      </c>
      <c r="BC308" t="s">
        <v>680</v>
      </c>
      <c r="BD308">
        <v>2000</v>
      </c>
      <c r="BE308">
        <v>0</v>
      </c>
      <c r="BF308">
        <v>822.01816440000005</v>
      </c>
    </row>
    <row r="309" spans="1:58" x14ac:dyDescent="0.2">
      <c r="A309">
        <v>308</v>
      </c>
      <c r="B309" t="s">
        <v>357</v>
      </c>
      <c r="C309">
        <v>0</v>
      </c>
      <c r="H309" t="s">
        <v>357</v>
      </c>
      <c r="I309" t="s">
        <v>45</v>
      </c>
      <c r="Q309" t="s">
        <v>357</v>
      </c>
      <c r="R309">
        <v>737.60058760000004</v>
      </c>
      <c r="S309">
        <v>6</v>
      </c>
      <c r="T309">
        <v>130</v>
      </c>
      <c r="V309">
        <v>0</v>
      </c>
      <c r="W309">
        <v>0</v>
      </c>
      <c r="X309" t="s">
        <v>357</v>
      </c>
      <c r="Y309">
        <v>-1</v>
      </c>
      <c r="Z309">
        <v>6</v>
      </c>
      <c r="AA309">
        <v>737.6</v>
      </c>
      <c r="AB309">
        <v>130</v>
      </c>
      <c r="AC309">
        <v>0.17</v>
      </c>
      <c r="AD309">
        <v>0</v>
      </c>
      <c r="AE309">
        <v>0</v>
      </c>
      <c r="AF309">
        <v>0</v>
      </c>
      <c r="AG309">
        <v>1</v>
      </c>
      <c r="AH309">
        <v>0.17</v>
      </c>
      <c r="AI309">
        <v>0.17</v>
      </c>
      <c r="AJ309">
        <v>0.17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737.60058760000004</v>
      </c>
      <c r="AR309">
        <v>0</v>
      </c>
      <c r="AS309">
        <v>308</v>
      </c>
      <c r="AT309">
        <v>1</v>
      </c>
      <c r="AU309">
        <v>308</v>
      </c>
      <c r="AV309">
        <v>6</v>
      </c>
      <c r="AW309" t="s">
        <v>678</v>
      </c>
      <c r="AX309" t="s">
        <v>45</v>
      </c>
      <c r="AY309" t="s">
        <v>501</v>
      </c>
      <c r="AZ309">
        <v>1723</v>
      </c>
      <c r="BA309" t="s">
        <v>679</v>
      </c>
      <c r="BB309">
        <v>1033</v>
      </c>
      <c r="BC309" t="s">
        <v>680</v>
      </c>
      <c r="BD309">
        <v>2000</v>
      </c>
      <c r="BE309">
        <v>0</v>
      </c>
      <c r="BF309">
        <v>822.01816440000005</v>
      </c>
    </row>
    <row r="310" spans="1:58" x14ac:dyDescent="0.2">
      <c r="A310">
        <v>309</v>
      </c>
      <c r="B310" t="s">
        <v>358</v>
      </c>
      <c r="C310">
        <v>0</v>
      </c>
      <c r="H310" t="s">
        <v>358</v>
      </c>
      <c r="I310" t="s">
        <v>45</v>
      </c>
      <c r="Q310" t="s">
        <v>358</v>
      </c>
      <c r="R310">
        <v>11.06622537</v>
      </c>
      <c r="S310">
        <v>6</v>
      </c>
      <c r="T310">
        <v>130</v>
      </c>
      <c r="V310">
        <v>0</v>
      </c>
      <c r="W310">
        <v>0</v>
      </c>
      <c r="X310" t="s">
        <v>358</v>
      </c>
      <c r="Y310">
        <v>-1</v>
      </c>
      <c r="Z310">
        <v>6</v>
      </c>
      <c r="AA310">
        <v>11.07</v>
      </c>
      <c r="AB310">
        <v>130</v>
      </c>
      <c r="AC310">
        <v>0.87</v>
      </c>
      <c r="AD310">
        <v>0.01</v>
      </c>
      <c r="AE310">
        <v>0</v>
      </c>
      <c r="AF310">
        <v>0</v>
      </c>
      <c r="AG310">
        <v>1</v>
      </c>
      <c r="AH310">
        <v>0.87</v>
      </c>
      <c r="AI310">
        <v>0.87</v>
      </c>
      <c r="AJ310">
        <v>0.87</v>
      </c>
      <c r="AK310">
        <v>0.01</v>
      </c>
      <c r="AL310">
        <v>0.01</v>
      </c>
      <c r="AM310">
        <v>0.01</v>
      </c>
      <c r="AN310">
        <v>0</v>
      </c>
      <c r="AO310">
        <v>0</v>
      </c>
      <c r="AP310">
        <v>0</v>
      </c>
      <c r="AQ310">
        <v>11.06622537</v>
      </c>
      <c r="AR310">
        <v>0</v>
      </c>
      <c r="AS310">
        <v>309</v>
      </c>
      <c r="AT310">
        <v>1</v>
      </c>
      <c r="AU310">
        <v>309</v>
      </c>
      <c r="AV310">
        <v>6</v>
      </c>
      <c r="AW310" t="s">
        <v>685</v>
      </c>
      <c r="AX310" t="s">
        <v>45</v>
      </c>
      <c r="AY310" t="s">
        <v>501</v>
      </c>
      <c r="AZ310">
        <v>974</v>
      </c>
      <c r="BA310" t="s">
        <v>686</v>
      </c>
      <c r="BB310">
        <v>1729</v>
      </c>
      <c r="BC310" t="s">
        <v>687</v>
      </c>
      <c r="BD310">
        <v>2000</v>
      </c>
      <c r="BE310">
        <v>0</v>
      </c>
      <c r="BF310">
        <v>1095.6713669999999</v>
      </c>
    </row>
    <row r="311" spans="1:58" x14ac:dyDescent="0.2">
      <c r="A311">
        <v>310</v>
      </c>
      <c r="B311" t="s">
        <v>359</v>
      </c>
      <c r="C311">
        <v>0</v>
      </c>
      <c r="H311" t="s">
        <v>359</v>
      </c>
      <c r="I311" t="s">
        <v>45</v>
      </c>
      <c r="Q311" t="s">
        <v>359</v>
      </c>
      <c r="R311">
        <v>9.1854248619999996</v>
      </c>
      <c r="S311">
        <v>6</v>
      </c>
      <c r="T311">
        <v>130</v>
      </c>
      <c r="V311">
        <v>0</v>
      </c>
      <c r="W311">
        <v>0</v>
      </c>
      <c r="X311" t="s">
        <v>359</v>
      </c>
      <c r="Y311">
        <v>-1</v>
      </c>
      <c r="Z311">
        <v>6</v>
      </c>
      <c r="AA311">
        <v>9.19</v>
      </c>
      <c r="AB311">
        <v>130</v>
      </c>
      <c r="AC311">
        <v>0.87</v>
      </c>
      <c r="AD311">
        <v>0.01</v>
      </c>
      <c r="AE311">
        <v>0</v>
      </c>
      <c r="AF311">
        <v>0</v>
      </c>
      <c r="AG311">
        <v>1</v>
      </c>
      <c r="AH311">
        <v>0.87</v>
      </c>
      <c r="AI311">
        <v>0.87</v>
      </c>
      <c r="AJ311">
        <v>0.87</v>
      </c>
      <c r="AK311">
        <v>0.01</v>
      </c>
      <c r="AL311">
        <v>0.01</v>
      </c>
      <c r="AM311">
        <v>0.01</v>
      </c>
      <c r="AN311">
        <v>0</v>
      </c>
      <c r="AO311">
        <v>0</v>
      </c>
      <c r="AP311">
        <v>0</v>
      </c>
      <c r="AQ311">
        <v>9.1854248619999996</v>
      </c>
      <c r="AR311">
        <v>0</v>
      </c>
      <c r="AS311">
        <v>310</v>
      </c>
      <c r="AT311">
        <v>1</v>
      </c>
      <c r="AU311">
        <v>310</v>
      </c>
      <c r="AV311">
        <v>6</v>
      </c>
      <c r="AW311" t="s">
        <v>931</v>
      </c>
      <c r="AX311" t="s">
        <v>45</v>
      </c>
      <c r="AY311" t="s">
        <v>501</v>
      </c>
      <c r="AZ311">
        <v>974</v>
      </c>
      <c r="BA311" t="s">
        <v>686</v>
      </c>
      <c r="BB311">
        <v>1727</v>
      </c>
      <c r="BC311" t="s">
        <v>689</v>
      </c>
      <c r="BD311">
        <v>2000</v>
      </c>
      <c r="BE311">
        <v>0</v>
      </c>
      <c r="BF311">
        <v>621.78259639999999</v>
      </c>
    </row>
    <row r="312" spans="1:58" x14ac:dyDescent="0.2">
      <c r="A312">
        <v>311</v>
      </c>
      <c r="B312" t="s">
        <v>360</v>
      </c>
      <c r="C312">
        <v>0</v>
      </c>
      <c r="H312" t="s">
        <v>360</v>
      </c>
      <c r="I312" t="s">
        <v>45</v>
      </c>
      <c r="Q312" t="s">
        <v>360</v>
      </c>
      <c r="R312">
        <v>15.088027070000001</v>
      </c>
      <c r="S312">
        <v>6</v>
      </c>
      <c r="T312">
        <v>130</v>
      </c>
      <c r="V312">
        <v>0</v>
      </c>
      <c r="W312">
        <v>0</v>
      </c>
      <c r="X312" t="s">
        <v>360</v>
      </c>
      <c r="Y312">
        <v>0</v>
      </c>
      <c r="Z312">
        <v>6</v>
      </c>
      <c r="AA312">
        <v>15.09</v>
      </c>
      <c r="AB312">
        <v>130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15.088027070000001</v>
      </c>
      <c r="AR312">
        <v>0</v>
      </c>
      <c r="AS312">
        <v>311</v>
      </c>
      <c r="AT312">
        <v>1</v>
      </c>
      <c r="AU312">
        <v>311</v>
      </c>
      <c r="AV312">
        <v>6</v>
      </c>
      <c r="AW312" t="s">
        <v>931</v>
      </c>
      <c r="AX312" t="s">
        <v>45</v>
      </c>
      <c r="AY312" t="s">
        <v>501</v>
      </c>
      <c r="AZ312">
        <v>974</v>
      </c>
      <c r="BA312" t="s">
        <v>686</v>
      </c>
      <c r="BB312">
        <v>1727</v>
      </c>
      <c r="BC312" t="s">
        <v>689</v>
      </c>
      <c r="BD312">
        <v>2000</v>
      </c>
      <c r="BE312">
        <v>0</v>
      </c>
      <c r="BF312">
        <v>621.78259639999999</v>
      </c>
    </row>
    <row r="313" spans="1:58" x14ac:dyDescent="0.2">
      <c r="A313">
        <v>312</v>
      </c>
      <c r="B313" t="s">
        <v>361</v>
      </c>
      <c r="C313">
        <v>0</v>
      </c>
      <c r="H313" t="s">
        <v>361</v>
      </c>
      <c r="I313" t="s">
        <v>45</v>
      </c>
      <c r="Q313" t="s">
        <v>361</v>
      </c>
      <c r="R313">
        <v>563.64660890000005</v>
      </c>
      <c r="S313">
        <v>6</v>
      </c>
      <c r="T313">
        <v>130</v>
      </c>
      <c r="V313">
        <v>0</v>
      </c>
      <c r="W313">
        <v>0</v>
      </c>
      <c r="X313" t="s">
        <v>361</v>
      </c>
      <c r="Y313">
        <v>0</v>
      </c>
      <c r="Z313">
        <v>6</v>
      </c>
      <c r="AA313">
        <v>563.65</v>
      </c>
      <c r="AB313">
        <v>130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563.64660890000005</v>
      </c>
      <c r="AR313">
        <v>0</v>
      </c>
      <c r="AS313">
        <v>312</v>
      </c>
      <c r="AT313">
        <v>1</v>
      </c>
      <c r="AU313">
        <v>312</v>
      </c>
      <c r="AV313">
        <v>6</v>
      </c>
      <c r="AW313" t="s">
        <v>931</v>
      </c>
      <c r="AX313" t="s">
        <v>45</v>
      </c>
      <c r="AY313" t="s">
        <v>501</v>
      </c>
      <c r="AZ313">
        <v>974</v>
      </c>
      <c r="BA313" t="s">
        <v>686</v>
      </c>
      <c r="BB313">
        <v>1727</v>
      </c>
      <c r="BC313" t="s">
        <v>689</v>
      </c>
      <c r="BD313">
        <v>2000</v>
      </c>
      <c r="BE313">
        <v>0</v>
      </c>
      <c r="BF313">
        <v>621.78259639999999</v>
      </c>
    </row>
    <row r="314" spans="1:58" x14ac:dyDescent="0.2">
      <c r="A314">
        <v>313</v>
      </c>
      <c r="B314" t="s">
        <v>362</v>
      </c>
      <c r="C314">
        <v>0</v>
      </c>
      <c r="H314" t="s">
        <v>362</v>
      </c>
      <c r="I314" t="s">
        <v>45</v>
      </c>
      <c r="Q314" t="s">
        <v>362</v>
      </c>
      <c r="R314">
        <v>40.28210035</v>
      </c>
      <c r="S314">
        <v>6</v>
      </c>
      <c r="T314">
        <v>130</v>
      </c>
      <c r="V314">
        <v>0</v>
      </c>
      <c r="W314">
        <v>0</v>
      </c>
      <c r="X314" t="s">
        <v>362</v>
      </c>
      <c r="Y314">
        <v>0</v>
      </c>
      <c r="Z314">
        <v>6</v>
      </c>
      <c r="AA314">
        <v>40.28</v>
      </c>
      <c r="AB314">
        <v>130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40.28210035</v>
      </c>
      <c r="AR314">
        <v>0</v>
      </c>
      <c r="AS314">
        <v>313</v>
      </c>
      <c r="AT314">
        <v>1</v>
      </c>
      <c r="AU314">
        <v>313</v>
      </c>
      <c r="AV314">
        <v>6</v>
      </c>
      <c r="AW314" t="s">
        <v>688</v>
      </c>
      <c r="AX314" t="s">
        <v>45</v>
      </c>
      <c r="AY314" t="s">
        <v>501</v>
      </c>
      <c r="AZ314">
        <v>1727</v>
      </c>
      <c r="BA314" t="s">
        <v>689</v>
      </c>
      <c r="BB314">
        <v>1728</v>
      </c>
      <c r="BC314" t="s">
        <v>690</v>
      </c>
      <c r="BD314">
        <v>2000</v>
      </c>
      <c r="BE314">
        <v>0</v>
      </c>
      <c r="BF314">
        <v>371.31279699999999</v>
      </c>
    </row>
    <row r="315" spans="1:58" x14ac:dyDescent="0.2">
      <c r="A315">
        <v>314</v>
      </c>
      <c r="B315" t="s">
        <v>363</v>
      </c>
      <c r="C315">
        <v>0</v>
      </c>
      <c r="H315" t="s">
        <v>363</v>
      </c>
      <c r="I315" t="s">
        <v>45</v>
      </c>
      <c r="Q315" t="s">
        <v>363</v>
      </c>
      <c r="R315">
        <v>360.431286</v>
      </c>
      <c r="S315">
        <v>6</v>
      </c>
      <c r="T315">
        <v>130</v>
      </c>
      <c r="V315">
        <v>0</v>
      </c>
      <c r="W315">
        <v>0</v>
      </c>
      <c r="X315" t="s">
        <v>363</v>
      </c>
      <c r="Y315">
        <v>0</v>
      </c>
      <c r="Z315">
        <v>6</v>
      </c>
      <c r="AA315">
        <v>360.43</v>
      </c>
      <c r="AB315">
        <v>130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360.431286</v>
      </c>
      <c r="AR315">
        <v>0</v>
      </c>
      <c r="AS315">
        <v>314</v>
      </c>
      <c r="AT315">
        <v>1</v>
      </c>
      <c r="AU315">
        <v>314</v>
      </c>
      <c r="AV315">
        <v>6</v>
      </c>
      <c r="AW315" t="s">
        <v>688</v>
      </c>
      <c r="AX315" t="s">
        <v>45</v>
      </c>
      <c r="AY315" t="s">
        <v>501</v>
      </c>
      <c r="AZ315">
        <v>1727</v>
      </c>
      <c r="BA315" t="s">
        <v>689</v>
      </c>
      <c r="BB315">
        <v>1728</v>
      </c>
      <c r="BC315" t="s">
        <v>690</v>
      </c>
      <c r="BD315">
        <v>2000</v>
      </c>
      <c r="BE315">
        <v>0</v>
      </c>
      <c r="BF315">
        <v>371.31279699999999</v>
      </c>
    </row>
    <row r="316" spans="1:58" x14ac:dyDescent="0.2">
      <c r="A316">
        <v>315</v>
      </c>
      <c r="B316" t="s">
        <v>364</v>
      </c>
      <c r="C316">
        <v>0</v>
      </c>
      <c r="H316" t="s">
        <v>364</v>
      </c>
      <c r="I316" t="s">
        <v>45</v>
      </c>
      <c r="Q316" t="s">
        <v>364</v>
      </c>
      <c r="R316">
        <v>357.90599500000002</v>
      </c>
      <c r="S316">
        <v>6</v>
      </c>
      <c r="T316">
        <v>130</v>
      </c>
      <c r="V316">
        <v>0</v>
      </c>
      <c r="W316">
        <v>0</v>
      </c>
      <c r="X316" t="s">
        <v>364</v>
      </c>
      <c r="Y316">
        <v>0</v>
      </c>
      <c r="Z316">
        <v>6</v>
      </c>
      <c r="AA316">
        <v>357.91</v>
      </c>
      <c r="AB316">
        <v>130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357.90599500000002</v>
      </c>
      <c r="AR316">
        <v>0</v>
      </c>
      <c r="AS316">
        <v>315</v>
      </c>
      <c r="AT316">
        <v>1</v>
      </c>
      <c r="AU316">
        <v>315</v>
      </c>
      <c r="AV316">
        <v>6</v>
      </c>
      <c r="AW316" t="s">
        <v>932</v>
      </c>
      <c r="AX316" t="s">
        <v>45</v>
      </c>
      <c r="AY316" t="s">
        <v>501</v>
      </c>
      <c r="AZ316">
        <v>1573</v>
      </c>
      <c r="BA316" t="s">
        <v>933</v>
      </c>
      <c r="BB316">
        <v>1728</v>
      </c>
      <c r="BC316" t="s">
        <v>690</v>
      </c>
      <c r="BD316">
        <v>2000</v>
      </c>
      <c r="BE316">
        <v>0</v>
      </c>
      <c r="BF316">
        <v>40.492362649999997</v>
      </c>
    </row>
    <row r="317" spans="1:58" x14ac:dyDescent="0.2">
      <c r="A317">
        <v>316</v>
      </c>
      <c r="B317" t="s">
        <v>365</v>
      </c>
      <c r="C317">
        <v>0</v>
      </c>
      <c r="H317" t="s">
        <v>365</v>
      </c>
      <c r="I317" t="s">
        <v>45</v>
      </c>
      <c r="Q317" t="s">
        <v>365</v>
      </c>
      <c r="R317">
        <v>181.93156060000001</v>
      </c>
      <c r="S317">
        <v>6</v>
      </c>
      <c r="T317">
        <v>130</v>
      </c>
      <c r="V317">
        <v>0</v>
      </c>
      <c r="W317">
        <v>0</v>
      </c>
      <c r="X317" t="s">
        <v>365</v>
      </c>
      <c r="Y317">
        <v>1</v>
      </c>
      <c r="Z317">
        <v>6</v>
      </c>
      <c r="AA317">
        <v>181.93</v>
      </c>
      <c r="AB317">
        <v>130</v>
      </c>
      <c r="AC317">
        <v>3.34</v>
      </c>
      <c r="AD317">
        <v>0.04</v>
      </c>
      <c r="AE317">
        <v>0</v>
      </c>
      <c r="AF317">
        <v>0</v>
      </c>
      <c r="AG317">
        <v>1</v>
      </c>
      <c r="AH317">
        <v>3.34</v>
      </c>
      <c r="AI317">
        <v>3.34</v>
      </c>
      <c r="AJ317">
        <v>3.34</v>
      </c>
      <c r="AK317">
        <v>0.04</v>
      </c>
      <c r="AL317">
        <v>0.04</v>
      </c>
      <c r="AM317">
        <v>0.04</v>
      </c>
      <c r="AN317">
        <v>0</v>
      </c>
      <c r="AO317">
        <v>0</v>
      </c>
      <c r="AP317">
        <v>0</v>
      </c>
      <c r="AQ317">
        <v>181.93156060000001</v>
      </c>
      <c r="AR317">
        <v>0</v>
      </c>
      <c r="AS317">
        <v>316</v>
      </c>
      <c r="AT317">
        <v>1</v>
      </c>
      <c r="AU317">
        <v>316</v>
      </c>
      <c r="AV317">
        <v>6</v>
      </c>
      <c r="AW317" t="s">
        <v>670</v>
      </c>
      <c r="AX317" t="s">
        <v>45</v>
      </c>
      <c r="AY317" t="s">
        <v>501</v>
      </c>
      <c r="AZ317">
        <v>1720</v>
      </c>
      <c r="BA317" t="s">
        <v>671</v>
      </c>
      <c r="BB317">
        <v>1721</v>
      </c>
      <c r="BC317" t="s">
        <v>672</v>
      </c>
      <c r="BD317">
        <v>2000</v>
      </c>
      <c r="BE317">
        <v>0</v>
      </c>
      <c r="BF317">
        <v>1079.139905</v>
      </c>
    </row>
    <row r="318" spans="1:58" x14ac:dyDescent="0.2">
      <c r="A318">
        <v>317</v>
      </c>
      <c r="B318" t="s">
        <v>366</v>
      </c>
      <c r="C318">
        <v>0</v>
      </c>
      <c r="H318" t="s">
        <v>366</v>
      </c>
      <c r="I318" t="s">
        <v>45</v>
      </c>
      <c r="Q318" t="s">
        <v>366</v>
      </c>
      <c r="R318">
        <v>1055.9055390000001</v>
      </c>
      <c r="S318">
        <v>6</v>
      </c>
      <c r="T318">
        <v>130</v>
      </c>
      <c r="V318">
        <v>0</v>
      </c>
      <c r="W318">
        <v>0</v>
      </c>
      <c r="X318" t="s">
        <v>366</v>
      </c>
      <c r="Y318">
        <v>1</v>
      </c>
      <c r="Z318">
        <v>6</v>
      </c>
      <c r="AA318">
        <v>1055.9100000000001</v>
      </c>
      <c r="AB318">
        <v>130</v>
      </c>
      <c r="AC318">
        <v>3.34</v>
      </c>
      <c r="AD318">
        <v>0.04</v>
      </c>
      <c r="AE318">
        <v>0</v>
      </c>
      <c r="AF318">
        <v>0</v>
      </c>
      <c r="AG318">
        <v>1</v>
      </c>
      <c r="AH318">
        <v>3.34</v>
      </c>
      <c r="AI318">
        <v>3.34</v>
      </c>
      <c r="AJ318">
        <v>3.34</v>
      </c>
      <c r="AK318">
        <v>0.04</v>
      </c>
      <c r="AL318">
        <v>0.04</v>
      </c>
      <c r="AM318">
        <v>0.04</v>
      </c>
      <c r="AN318">
        <v>0</v>
      </c>
      <c r="AO318">
        <v>0</v>
      </c>
      <c r="AP318">
        <v>0</v>
      </c>
      <c r="AQ318">
        <v>1055.9055390000001</v>
      </c>
      <c r="AR318">
        <v>0</v>
      </c>
      <c r="AS318">
        <v>317</v>
      </c>
      <c r="AT318">
        <v>1</v>
      </c>
      <c r="AU318">
        <v>317</v>
      </c>
      <c r="AV318">
        <v>6</v>
      </c>
      <c r="AW318" t="s">
        <v>670</v>
      </c>
      <c r="AX318" t="s">
        <v>45</v>
      </c>
      <c r="AY318" t="s">
        <v>501</v>
      </c>
      <c r="AZ318">
        <v>1720</v>
      </c>
      <c r="BA318" t="s">
        <v>671</v>
      </c>
      <c r="BB318">
        <v>1721</v>
      </c>
      <c r="BC318" t="s">
        <v>672</v>
      </c>
      <c r="BD318">
        <v>2000</v>
      </c>
      <c r="BE318">
        <v>0</v>
      </c>
      <c r="BF318">
        <v>1079.139905</v>
      </c>
    </row>
    <row r="319" spans="1:58" x14ac:dyDescent="0.2">
      <c r="A319">
        <v>318</v>
      </c>
      <c r="B319" t="s">
        <v>367</v>
      </c>
      <c r="C319">
        <v>0</v>
      </c>
      <c r="H319" t="s">
        <v>367</v>
      </c>
      <c r="I319" t="s">
        <v>45</v>
      </c>
      <c r="Q319" t="s">
        <v>367</v>
      </c>
      <c r="R319">
        <v>94.133673770000001</v>
      </c>
      <c r="S319">
        <v>6</v>
      </c>
      <c r="T319">
        <v>130</v>
      </c>
      <c r="V319">
        <v>0</v>
      </c>
      <c r="W319">
        <v>0</v>
      </c>
      <c r="X319" t="s">
        <v>367</v>
      </c>
      <c r="Y319">
        <v>1</v>
      </c>
      <c r="Z319">
        <v>6</v>
      </c>
      <c r="AA319">
        <v>94.13</v>
      </c>
      <c r="AB319">
        <v>130</v>
      </c>
      <c r="AC319">
        <v>3.2</v>
      </c>
      <c r="AD319">
        <v>0.04</v>
      </c>
      <c r="AE319">
        <v>0</v>
      </c>
      <c r="AF319">
        <v>0</v>
      </c>
      <c r="AG319">
        <v>1</v>
      </c>
      <c r="AH319">
        <v>3.2</v>
      </c>
      <c r="AI319">
        <v>3.2</v>
      </c>
      <c r="AJ319">
        <v>3.2</v>
      </c>
      <c r="AK319">
        <v>0.04</v>
      </c>
      <c r="AL319">
        <v>0.04</v>
      </c>
      <c r="AM319">
        <v>0.04</v>
      </c>
      <c r="AN319">
        <v>0</v>
      </c>
      <c r="AO319">
        <v>0</v>
      </c>
      <c r="AP319">
        <v>0</v>
      </c>
      <c r="AQ319">
        <v>94.133673770000001</v>
      </c>
      <c r="AR319">
        <v>0</v>
      </c>
      <c r="AS319">
        <v>318</v>
      </c>
      <c r="AT319">
        <v>1</v>
      </c>
      <c r="AU319">
        <v>318</v>
      </c>
      <c r="AV319">
        <v>6</v>
      </c>
      <c r="AW319" t="s">
        <v>673</v>
      </c>
      <c r="AX319" t="s">
        <v>45</v>
      </c>
      <c r="AY319" t="s">
        <v>501</v>
      </c>
      <c r="AZ319">
        <v>1721</v>
      </c>
      <c r="BA319" t="s">
        <v>672</v>
      </c>
      <c r="BB319">
        <v>1022</v>
      </c>
      <c r="BC319" t="s">
        <v>674</v>
      </c>
      <c r="BD319">
        <v>2000</v>
      </c>
      <c r="BE319">
        <v>0</v>
      </c>
      <c r="BF319">
        <v>94.663847709999999</v>
      </c>
    </row>
    <row r="320" spans="1:58" x14ac:dyDescent="0.2">
      <c r="A320">
        <v>319</v>
      </c>
      <c r="B320" t="s">
        <v>368</v>
      </c>
      <c r="C320">
        <v>0</v>
      </c>
      <c r="H320" t="s">
        <v>368</v>
      </c>
      <c r="I320" t="s">
        <v>45</v>
      </c>
      <c r="Q320" t="s">
        <v>368</v>
      </c>
      <c r="R320">
        <v>39.830701380000001</v>
      </c>
      <c r="S320">
        <v>6</v>
      </c>
      <c r="T320">
        <v>130</v>
      </c>
      <c r="V320">
        <v>0</v>
      </c>
      <c r="W320">
        <v>0</v>
      </c>
      <c r="X320" t="s">
        <v>368</v>
      </c>
      <c r="Y320">
        <v>-1</v>
      </c>
      <c r="Z320">
        <v>6</v>
      </c>
      <c r="AA320">
        <v>39.83</v>
      </c>
      <c r="AB320">
        <v>130</v>
      </c>
      <c r="AC320">
        <v>13.23</v>
      </c>
      <c r="AD320">
        <v>0.15</v>
      </c>
      <c r="AE320">
        <v>0</v>
      </c>
      <c r="AF320">
        <v>0.02</v>
      </c>
      <c r="AG320">
        <v>1</v>
      </c>
      <c r="AH320">
        <v>13.23</v>
      </c>
      <c r="AI320">
        <v>13.23</v>
      </c>
      <c r="AJ320">
        <v>13.23</v>
      </c>
      <c r="AK320">
        <v>0.15</v>
      </c>
      <c r="AL320">
        <v>0.15</v>
      </c>
      <c r="AM320">
        <v>0.15</v>
      </c>
      <c r="AN320">
        <v>0</v>
      </c>
      <c r="AO320">
        <v>0</v>
      </c>
      <c r="AP320">
        <v>0</v>
      </c>
      <c r="AQ320">
        <v>39.830701380000001</v>
      </c>
      <c r="AR320">
        <v>0</v>
      </c>
      <c r="AS320">
        <v>319</v>
      </c>
      <c r="AT320">
        <v>1</v>
      </c>
      <c r="AU320">
        <v>319</v>
      </c>
      <c r="AV320">
        <v>6</v>
      </c>
      <c r="AW320" t="s">
        <v>924</v>
      </c>
      <c r="AX320" t="s">
        <v>45</v>
      </c>
      <c r="AY320" t="s">
        <v>501</v>
      </c>
      <c r="AZ320">
        <v>928</v>
      </c>
      <c r="BA320" t="s">
        <v>925</v>
      </c>
      <c r="BB320">
        <v>1716</v>
      </c>
      <c r="BC320" t="s">
        <v>926</v>
      </c>
      <c r="BD320">
        <v>2000</v>
      </c>
      <c r="BE320">
        <v>0</v>
      </c>
      <c r="BF320">
        <v>210.29184950000001</v>
      </c>
    </row>
    <row r="321" spans="1:58" x14ac:dyDescent="0.2">
      <c r="A321">
        <v>320</v>
      </c>
      <c r="B321" t="s">
        <v>369</v>
      </c>
      <c r="C321">
        <v>0</v>
      </c>
      <c r="H321" t="s">
        <v>369</v>
      </c>
      <c r="I321" t="s">
        <v>45</v>
      </c>
      <c r="Q321" t="s">
        <v>369</v>
      </c>
      <c r="R321">
        <v>309.81301050000002</v>
      </c>
      <c r="S321">
        <v>6</v>
      </c>
      <c r="T321">
        <v>130</v>
      </c>
      <c r="V321">
        <v>0</v>
      </c>
      <c r="W321">
        <v>0</v>
      </c>
      <c r="X321" t="s">
        <v>369</v>
      </c>
      <c r="Y321">
        <v>-1</v>
      </c>
      <c r="Z321">
        <v>6</v>
      </c>
      <c r="AA321">
        <v>309.81</v>
      </c>
      <c r="AB321">
        <v>130</v>
      </c>
      <c r="AC321">
        <v>13.23</v>
      </c>
      <c r="AD321">
        <v>0.15</v>
      </c>
      <c r="AE321">
        <v>0.01</v>
      </c>
      <c r="AF321">
        <v>0.02</v>
      </c>
      <c r="AG321">
        <v>1</v>
      </c>
      <c r="AH321">
        <v>13.23</v>
      </c>
      <c r="AI321">
        <v>13.23</v>
      </c>
      <c r="AJ321">
        <v>13.23</v>
      </c>
      <c r="AK321">
        <v>0.15</v>
      </c>
      <c r="AL321">
        <v>0.15</v>
      </c>
      <c r="AM321">
        <v>0.15</v>
      </c>
      <c r="AN321">
        <v>0.01</v>
      </c>
      <c r="AO321">
        <v>0.01</v>
      </c>
      <c r="AP321">
        <v>0.01</v>
      </c>
      <c r="AQ321">
        <v>309.81301050000002</v>
      </c>
      <c r="AR321">
        <v>0</v>
      </c>
      <c r="AS321">
        <v>320</v>
      </c>
      <c r="AT321">
        <v>1</v>
      </c>
      <c r="AU321">
        <v>320</v>
      </c>
      <c r="AV321">
        <v>6</v>
      </c>
      <c r="AW321" t="s">
        <v>661</v>
      </c>
      <c r="AX321" t="s">
        <v>45</v>
      </c>
      <c r="AY321" t="s">
        <v>501</v>
      </c>
      <c r="AZ321">
        <v>1560</v>
      </c>
      <c r="BA321" t="s">
        <v>662</v>
      </c>
      <c r="BB321">
        <v>1715</v>
      </c>
      <c r="BC321" t="s">
        <v>663</v>
      </c>
      <c r="BD321">
        <v>1980</v>
      </c>
      <c r="BE321">
        <v>0</v>
      </c>
      <c r="BF321">
        <v>35.218649739999996</v>
      </c>
    </row>
    <row r="322" spans="1:58" x14ac:dyDescent="0.2">
      <c r="A322">
        <v>321</v>
      </c>
      <c r="B322" t="s">
        <v>370</v>
      </c>
      <c r="C322">
        <v>0</v>
      </c>
      <c r="H322" t="s">
        <v>370</v>
      </c>
      <c r="I322" t="s">
        <v>45</v>
      </c>
      <c r="Q322" t="s">
        <v>370</v>
      </c>
      <c r="R322">
        <v>153.6994018</v>
      </c>
      <c r="S322">
        <v>6</v>
      </c>
      <c r="T322">
        <v>130</v>
      </c>
      <c r="V322">
        <v>0</v>
      </c>
      <c r="W322">
        <v>0</v>
      </c>
      <c r="X322" t="s">
        <v>370</v>
      </c>
      <c r="Y322">
        <v>-1</v>
      </c>
      <c r="Z322">
        <v>6</v>
      </c>
      <c r="AA322">
        <v>153.69999999999999</v>
      </c>
      <c r="AB322">
        <v>130</v>
      </c>
      <c r="AC322">
        <v>28.5</v>
      </c>
      <c r="AD322">
        <v>0.32</v>
      </c>
      <c r="AE322">
        <v>0.02</v>
      </c>
      <c r="AF322">
        <v>0.1</v>
      </c>
      <c r="AG322">
        <v>1</v>
      </c>
      <c r="AH322">
        <v>28.5</v>
      </c>
      <c r="AI322">
        <v>28.5</v>
      </c>
      <c r="AJ322">
        <v>28.5</v>
      </c>
      <c r="AK322">
        <v>0.32</v>
      </c>
      <c r="AL322">
        <v>0.32</v>
      </c>
      <c r="AM322">
        <v>0.32</v>
      </c>
      <c r="AN322">
        <v>0.02</v>
      </c>
      <c r="AO322">
        <v>0.02</v>
      </c>
      <c r="AP322">
        <v>0.02</v>
      </c>
      <c r="AQ322">
        <v>153.6994018</v>
      </c>
      <c r="AR322">
        <v>0</v>
      </c>
      <c r="AS322">
        <v>321</v>
      </c>
      <c r="AT322">
        <v>1</v>
      </c>
      <c r="AU322">
        <v>321</v>
      </c>
      <c r="AV322">
        <v>6</v>
      </c>
      <c r="AW322" t="s">
        <v>871</v>
      </c>
      <c r="AX322" t="s">
        <v>146</v>
      </c>
      <c r="AY322" t="s">
        <v>501</v>
      </c>
      <c r="AZ322">
        <v>929</v>
      </c>
      <c r="BA322" t="s">
        <v>872</v>
      </c>
      <c r="BB322">
        <v>1011</v>
      </c>
      <c r="BC322" t="s">
        <v>659</v>
      </c>
      <c r="BD322">
        <v>1980</v>
      </c>
      <c r="BE322">
        <v>0</v>
      </c>
      <c r="BF322">
        <v>249.6079268</v>
      </c>
    </row>
    <row r="323" spans="1:58" x14ac:dyDescent="0.2">
      <c r="A323">
        <v>322</v>
      </c>
      <c r="B323" t="s">
        <v>371</v>
      </c>
      <c r="C323">
        <v>0</v>
      </c>
      <c r="H323" t="s">
        <v>371</v>
      </c>
      <c r="I323" t="s">
        <v>45</v>
      </c>
      <c r="Q323" t="s">
        <v>371</v>
      </c>
      <c r="R323">
        <v>87.371396579999995</v>
      </c>
      <c r="S323">
        <v>6</v>
      </c>
      <c r="T323">
        <v>130</v>
      </c>
      <c r="V323">
        <v>0</v>
      </c>
      <c r="W323">
        <v>0</v>
      </c>
      <c r="X323" t="s">
        <v>371</v>
      </c>
      <c r="Y323">
        <v>1</v>
      </c>
      <c r="Z323">
        <v>6</v>
      </c>
      <c r="AA323">
        <v>87.37</v>
      </c>
      <c r="AB323">
        <v>130</v>
      </c>
      <c r="AC323">
        <v>4.4800000000000004</v>
      </c>
      <c r="AD323">
        <v>0.05</v>
      </c>
      <c r="AE323">
        <v>0</v>
      </c>
      <c r="AF323">
        <v>0</v>
      </c>
      <c r="AG323">
        <v>1</v>
      </c>
      <c r="AH323">
        <v>4.4800000000000004</v>
      </c>
      <c r="AI323">
        <v>4.4800000000000004</v>
      </c>
      <c r="AJ323">
        <v>4.4800000000000004</v>
      </c>
      <c r="AK323">
        <v>0.05</v>
      </c>
      <c r="AL323">
        <v>0.05</v>
      </c>
      <c r="AM323">
        <v>0.05</v>
      </c>
      <c r="AN323">
        <v>0</v>
      </c>
      <c r="AO323">
        <v>0</v>
      </c>
      <c r="AP323">
        <v>0</v>
      </c>
      <c r="AQ323">
        <v>87.371396579999995</v>
      </c>
      <c r="AR323">
        <v>0</v>
      </c>
      <c r="AS323">
        <v>322</v>
      </c>
      <c r="AT323">
        <v>1</v>
      </c>
      <c r="AU323">
        <v>322</v>
      </c>
      <c r="AV323">
        <v>6</v>
      </c>
      <c r="AW323" t="s">
        <v>934</v>
      </c>
      <c r="AX323" t="s">
        <v>45</v>
      </c>
      <c r="AY323" t="s">
        <v>501</v>
      </c>
      <c r="AZ323">
        <v>1576</v>
      </c>
      <c r="BA323" t="s">
        <v>935</v>
      </c>
      <c r="BB323">
        <v>1730</v>
      </c>
      <c r="BC323" t="s">
        <v>698</v>
      </c>
      <c r="BD323">
        <v>1950</v>
      </c>
      <c r="BE323">
        <v>0</v>
      </c>
      <c r="BF323">
        <v>21.275372610000002</v>
      </c>
    </row>
    <row r="324" spans="1:58" x14ac:dyDescent="0.2">
      <c r="A324">
        <v>323</v>
      </c>
      <c r="B324" t="s">
        <v>372</v>
      </c>
      <c r="C324">
        <v>0</v>
      </c>
      <c r="H324" t="s">
        <v>372</v>
      </c>
      <c r="I324" t="s">
        <v>45</v>
      </c>
      <c r="Q324" t="s">
        <v>372</v>
      </c>
      <c r="R324">
        <v>707.80975679999995</v>
      </c>
      <c r="S324">
        <v>6</v>
      </c>
      <c r="T324">
        <v>130</v>
      </c>
      <c r="V324">
        <v>0</v>
      </c>
      <c r="W324">
        <v>0</v>
      </c>
      <c r="X324" t="s">
        <v>372</v>
      </c>
      <c r="Y324">
        <v>1</v>
      </c>
      <c r="Z324">
        <v>6</v>
      </c>
      <c r="AA324">
        <v>707.81</v>
      </c>
      <c r="AB324">
        <v>130</v>
      </c>
      <c r="AC324">
        <v>4.4800000000000004</v>
      </c>
      <c r="AD324">
        <v>0.05</v>
      </c>
      <c r="AE324">
        <v>0</v>
      </c>
      <c r="AF324">
        <v>0</v>
      </c>
      <c r="AG324">
        <v>1</v>
      </c>
      <c r="AH324">
        <v>4.4800000000000004</v>
      </c>
      <c r="AI324">
        <v>4.4800000000000004</v>
      </c>
      <c r="AJ324">
        <v>4.4800000000000004</v>
      </c>
      <c r="AK324">
        <v>0.05</v>
      </c>
      <c r="AL324">
        <v>0.05</v>
      </c>
      <c r="AM324">
        <v>0.05</v>
      </c>
      <c r="AN324">
        <v>0</v>
      </c>
      <c r="AO324">
        <v>0</v>
      </c>
      <c r="AP324">
        <v>0</v>
      </c>
      <c r="AQ324">
        <v>707.80975679999995</v>
      </c>
      <c r="AR324">
        <v>0</v>
      </c>
      <c r="AS324">
        <v>323</v>
      </c>
      <c r="AT324">
        <v>1</v>
      </c>
      <c r="AU324">
        <v>323</v>
      </c>
      <c r="AV324">
        <v>6</v>
      </c>
      <c r="AW324" t="s">
        <v>696</v>
      </c>
      <c r="AX324" t="s">
        <v>45</v>
      </c>
      <c r="AY324" t="s">
        <v>501</v>
      </c>
      <c r="AZ324">
        <v>948</v>
      </c>
      <c r="BA324" t="s">
        <v>697</v>
      </c>
      <c r="BB324">
        <v>1730</v>
      </c>
      <c r="BC324" t="s">
        <v>698</v>
      </c>
      <c r="BD324">
        <v>1950</v>
      </c>
      <c r="BE324">
        <v>0</v>
      </c>
      <c r="BF324">
        <v>51.0650385</v>
      </c>
    </row>
    <row r="325" spans="1:58" x14ac:dyDescent="0.2">
      <c r="A325">
        <v>324</v>
      </c>
      <c r="B325" t="s">
        <v>373</v>
      </c>
      <c r="C325">
        <v>0</v>
      </c>
      <c r="H325" t="s">
        <v>373</v>
      </c>
      <c r="I325" t="s">
        <v>45</v>
      </c>
      <c r="Q325" t="s">
        <v>373</v>
      </c>
      <c r="R325">
        <v>178.99615660000001</v>
      </c>
      <c r="S325">
        <v>6</v>
      </c>
      <c r="T325">
        <v>130</v>
      </c>
      <c r="V325">
        <v>0</v>
      </c>
      <c r="W325">
        <v>0</v>
      </c>
      <c r="X325" t="s">
        <v>373</v>
      </c>
      <c r="Y325">
        <v>1</v>
      </c>
      <c r="Z325">
        <v>6</v>
      </c>
      <c r="AA325">
        <v>179</v>
      </c>
      <c r="AB325">
        <v>130</v>
      </c>
      <c r="AC325">
        <v>3.37</v>
      </c>
      <c r="AD325">
        <v>0.04</v>
      </c>
      <c r="AE325">
        <v>0</v>
      </c>
      <c r="AF325">
        <v>0</v>
      </c>
      <c r="AG325">
        <v>1</v>
      </c>
      <c r="AH325">
        <v>3.37</v>
      </c>
      <c r="AI325">
        <v>3.37</v>
      </c>
      <c r="AJ325">
        <v>3.37</v>
      </c>
      <c r="AK325">
        <v>0.04</v>
      </c>
      <c r="AL325">
        <v>0.04</v>
      </c>
      <c r="AM325">
        <v>0.04</v>
      </c>
      <c r="AN325">
        <v>0</v>
      </c>
      <c r="AO325">
        <v>0</v>
      </c>
      <c r="AP325">
        <v>0</v>
      </c>
      <c r="AQ325">
        <v>178.99615660000001</v>
      </c>
      <c r="AR325">
        <v>0</v>
      </c>
      <c r="AS325">
        <v>324</v>
      </c>
      <c r="AT325">
        <v>1</v>
      </c>
      <c r="AU325">
        <v>324</v>
      </c>
      <c r="AV325">
        <v>6</v>
      </c>
      <c r="AW325" t="s">
        <v>936</v>
      </c>
      <c r="AX325" t="s">
        <v>45</v>
      </c>
      <c r="AY325" t="s">
        <v>501</v>
      </c>
      <c r="AZ325">
        <v>881</v>
      </c>
      <c r="BA325" t="s">
        <v>937</v>
      </c>
      <c r="BB325">
        <v>997</v>
      </c>
      <c r="BC325" t="s">
        <v>938</v>
      </c>
      <c r="BD325">
        <v>2000</v>
      </c>
      <c r="BE325">
        <v>0</v>
      </c>
      <c r="BF325">
        <v>7.1735655080000003</v>
      </c>
    </row>
    <row r="326" spans="1:58" x14ac:dyDescent="0.2">
      <c r="A326">
        <v>325</v>
      </c>
      <c r="B326" t="s">
        <v>374</v>
      </c>
      <c r="C326">
        <v>0</v>
      </c>
      <c r="H326" t="s">
        <v>374</v>
      </c>
      <c r="I326" t="s">
        <v>45</v>
      </c>
      <c r="Q326" t="s">
        <v>374</v>
      </c>
      <c r="R326">
        <v>39.82207674</v>
      </c>
      <c r="S326">
        <v>6</v>
      </c>
      <c r="T326">
        <v>130</v>
      </c>
      <c r="V326">
        <v>0</v>
      </c>
      <c r="W326">
        <v>0</v>
      </c>
      <c r="X326" t="s">
        <v>374</v>
      </c>
      <c r="Y326">
        <v>1</v>
      </c>
      <c r="Z326">
        <v>6</v>
      </c>
      <c r="AA326">
        <v>39.82</v>
      </c>
      <c r="AB326">
        <v>130</v>
      </c>
      <c r="AC326">
        <v>0.56000000000000005</v>
      </c>
      <c r="AD326">
        <v>0.01</v>
      </c>
      <c r="AE326">
        <v>0</v>
      </c>
      <c r="AF326">
        <v>0</v>
      </c>
      <c r="AG326">
        <v>1</v>
      </c>
      <c r="AH326">
        <v>0.56000000000000005</v>
      </c>
      <c r="AI326">
        <v>0.56000000000000005</v>
      </c>
      <c r="AJ326">
        <v>0.56000000000000005</v>
      </c>
      <c r="AK326">
        <v>0.01</v>
      </c>
      <c r="AL326">
        <v>0.01</v>
      </c>
      <c r="AM326">
        <v>0.01</v>
      </c>
      <c r="AN326">
        <v>0</v>
      </c>
      <c r="AO326">
        <v>0</v>
      </c>
      <c r="AP326">
        <v>0</v>
      </c>
      <c r="AQ326">
        <v>39.82207674</v>
      </c>
      <c r="AR326">
        <v>0</v>
      </c>
      <c r="AS326">
        <v>325</v>
      </c>
      <c r="AT326">
        <v>1</v>
      </c>
      <c r="AU326">
        <v>325</v>
      </c>
      <c r="AV326">
        <v>6</v>
      </c>
      <c r="AW326" t="s">
        <v>939</v>
      </c>
      <c r="AX326" t="s">
        <v>45</v>
      </c>
      <c r="AY326" t="s">
        <v>501</v>
      </c>
      <c r="AZ326">
        <v>1730</v>
      </c>
      <c r="BA326" t="s">
        <v>698</v>
      </c>
      <c r="BB326">
        <v>881</v>
      </c>
      <c r="BC326" t="s">
        <v>937</v>
      </c>
      <c r="BD326">
        <v>1950</v>
      </c>
      <c r="BE326">
        <v>0</v>
      </c>
      <c r="BF326">
        <v>717.44465920000005</v>
      </c>
    </row>
    <row r="327" spans="1:58" x14ac:dyDescent="0.2">
      <c r="A327">
        <v>326</v>
      </c>
      <c r="B327" t="s">
        <v>375</v>
      </c>
      <c r="C327">
        <v>0</v>
      </c>
      <c r="H327" t="s">
        <v>375</v>
      </c>
      <c r="I327" t="s">
        <v>45</v>
      </c>
      <c r="Q327" t="s">
        <v>375</v>
      </c>
      <c r="R327">
        <v>325.17320849999999</v>
      </c>
      <c r="S327">
        <v>6</v>
      </c>
      <c r="T327">
        <v>130</v>
      </c>
      <c r="V327">
        <v>0</v>
      </c>
      <c r="W327">
        <v>0</v>
      </c>
      <c r="X327" t="s">
        <v>375</v>
      </c>
      <c r="Y327">
        <v>1</v>
      </c>
      <c r="Z327">
        <v>6</v>
      </c>
      <c r="AA327">
        <v>325.17</v>
      </c>
      <c r="AB327">
        <v>130</v>
      </c>
      <c r="AC327">
        <v>0.56000000000000005</v>
      </c>
      <c r="AD327">
        <v>0.01</v>
      </c>
      <c r="AE327">
        <v>0</v>
      </c>
      <c r="AF327">
        <v>0</v>
      </c>
      <c r="AG327">
        <v>1</v>
      </c>
      <c r="AH327">
        <v>0.56000000000000005</v>
      </c>
      <c r="AI327">
        <v>0.56000000000000005</v>
      </c>
      <c r="AJ327">
        <v>0.56000000000000005</v>
      </c>
      <c r="AK327">
        <v>0.01</v>
      </c>
      <c r="AL327">
        <v>0.01</v>
      </c>
      <c r="AM327">
        <v>0.01</v>
      </c>
      <c r="AN327">
        <v>0</v>
      </c>
      <c r="AO327">
        <v>0</v>
      </c>
      <c r="AP327">
        <v>0</v>
      </c>
      <c r="AQ327">
        <v>325.17320849999999</v>
      </c>
      <c r="AR327">
        <v>0</v>
      </c>
      <c r="AS327">
        <v>326</v>
      </c>
      <c r="AT327">
        <v>1</v>
      </c>
      <c r="AU327">
        <v>326</v>
      </c>
      <c r="AV327">
        <v>6</v>
      </c>
      <c r="AW327" t="s">
        <v>693</v>
      </c>
      <c r="AX327" t="s">
        <v>45</v>
      </c>
      <c r="AY327" t="s">
        <v>501</v>
      </c>
      <c r="AZ327">
        <v>1575</v>
      </c>
      <c r="BA327" t="s">
        <v>694</v>
      </c>
      <c r="BB327">
        <v>882</v>
      </c>
      <c r="BC327" t="s">
        <v>695</v>
      </c>
      <c r="BD327">
        <v>2000</v>
      </c>
      <c r="BE327">
        <v>0</v>
      </c>
      <c r="BF327">
        <v>30.548220449999999</v>
      </c>
    </row>
    <row r="328" spans="1:58" x14ac:dyDescent="0.2">
      <c r="A328">
        <v>327</v>
      </c>
      <c r="B328" t="s">
        <v>376</v>
      </c>
      <c r="C328">
        <v>0</v>
      </c>
      <c r="H328" t="s">
        <v>376</v>
      </c>
      <c r="I328" t="s">
        <v>45</v>
      </c>
      <c r="Q328" t="s">
        <v>376</v>
      </c>
      <c r="R328">
        <v>295.69249259999998</v>
      </c>
      <c r="S328">
        <v>6</v>
      </c>
      <c r="T328">
        <v>130</v>
      </c>
      <c r="V328">
        <v>0</v>
      </c>
      <c r="W328">
        <v>0</v>
      </c>
      <c r="X328" t="s">
        <v>376</v>
      </c>
      <c r="Y328">
        <v>-1</v>
      </c>
      <c r="Z328">
        <v>6</v>
      </c>
      <c r="AA328">
        <v>295.69</v>
      </c>
      <c r="AB328">
        <v>130</v>
      </c>
      <c r="AC328">
        <v>32.840000000000003</v>
      </c>
      <c r="AD328">
        <v>0.37</v>
      </c>
      <c r="AE328">
        <v>0.04</v>
      </c>
      <c r="AF328">
        <v>0.13</v>
      </c>
      <c r="AG328">
        <v>1</v>
      </c>
      <c r="AH328">
        <v>32.840000000000003</v>
      </c>
      <c r="AI328">
        <v>32.840000000000003</v>
      </c>
      <c r="AJ328">
        <v>32.840000000000003</v>
      </c>
      <c r="AK328">
        <v>0.37</v>
      </c>
      <c r="AL328">
        <v>0.37</v>
      </c>
      <c r="AM328">
        <v>0.37</v>
      </c>
      <c r="AN328">
        <v>0.04</v>
      </c>
      <c r="AO328">
        <v>0.04</v>
      </c>
      <c r="AP328">
        <v>0.04</v>
      </c>
      <c r="AQ328">
        <v>295.69249259999998</v>
      </c>
      <c r="AR328">
        <v>1</v>
      </c>
      <c r="AS328">
        <v>327</v>
      </c>
      <c r="AT328">
        <v>1</v>
      </c>
      <c r="AU328">
        <v>327</v>
      </c>
      <c r="AV328">
        <v>6</v>
      </c>
      <c r="AW328" t="s">
        <v>940</v>
      </c>
      <c r="AX328" t="s">
        <v>45</v>
      </c>
      <c r="AY328" t="s">
        <v>501</v>
      </c>
      <c r="AZ328">
        <v>1594</v>
      </c>
      <c r="BA328" t="s">
        <v>941</v>
      </c>
      <c r="BB328">
        <v>1747</v>
      </c>
      <c r="BC328" t="s">
        <v>745</v>
      </c>
      <c r="BD328">
        <v>1980</v>
      </c>
      <c r="BE328">
        <v>0</v>
      </c>
      <c r="BF328">
        <v>12.454839829999999</v>
      </c>
    </row>
    <row r="329" spans="1:58" x14ac:dyDescent="0.2">
      <c r="A329">
        <v>328</v>
      </c>
      <c r="B329" t="s">
        <v>377</v>
      </c>
      <c r="C329">
        <v>0</v>
      </c>
      <c r="H329" t="s">
        <v>377</v>
      </c>
      <c r="I329" t="s">
        <v>45</v>
      </c>
      <c r="Q329" t="s">
        <v>377</v>
      </c>
      <c r="R329">
        <v>76.758291170000007</v>
      </c>
      <c r="S329">
        <v>6</v>
      </c>
      <c r="T329">
        <v>130</v>
      </c>
      <c r="V329">
        <v>0</v>
      </c>
      <c r="W329">
        <v>0</v>
      </c>
      <c r="X329" t="s">
        <v>377</v>
      </c>
      <c r="Y329">
        <v>-1</v>
      </c>
      <c r="Z329">
        <v>6</v>
      </c>
      <c r="AA329">
        <v>76.760000000000005</v>
      </c>
      <c r="AB329">
        <v>130</v>
      </c>
      <c r="AC329">
        <v>32.840000000000003</v>
      </c>
      <c r="AD329">
        <v>0.37</v>
      </c>
      <c r="AE329">
        <v>0.01</v>
      </c>
      <c r="AF329">
        <v>0.13</v>
      </c>
      <c r="AG329">
        <v>1</v>
      </c>
      <c r="AH329">
        <v>32.840000000000003</v>
      </c>
      <c r="AI329">
        <v>32.840000000000003</v>
      </c>
      <c r="AJ329">
        <v>32.840000000000003</v>
      </c>
      <c r="AK329">
        <v>0.37</v>
      </c>
      <c r="AL329">
        <v>0.37</v>
      </c>
      <c r="AM329">
        <v>0.37</v>
      </c>
      <c r="AN329">
        <v>0.01</v>
      </c>
      <c r="AO329">
        <v>0.01</v>
      </c>
      <c r="AP329">
        <v>0.01</v>
      </c>
      <c r="AQ329">
        <v>76.758291170000007</v>
      </c>
      <c r="AR329">
        <v>1</v>
      </c>
      <c r="AS329">
        <v>328</v>
      </c>
      <c r="AT329">
        <v>1</v>
      </c>
      <c r="AU329">
        <v>328</v>
      </c>
      <c r="AV329">
        <v>6</v>
      </c>
      <c r="AW329" t="s">
        <v>942</v>
      </c>
      <c r="AX329" t="s">
        <v>45</v>
      </c>
      <c r="AY329" t="s">
        <v>501</v>
      </c>
      <c r="AZ329">
        <v>45208</v>
      </c>
      <c r="BA329" t="s">
        <v>817</v>
      </c>
      <c r="BB329">
        <v>1747</v>
      </c>
      <c r="BC329" t="s">
        <v>745</v>
      </c>
      <c r="BD329">
        <v>1980</v>
      </c>
      <c r="BE329">
        <v>0</v>
      </c>
      <c r="BF329">
        <v>44.384666619999997</v>
      </c>
    </row>
    <row r="330" spans="1:58" x14ac:dyDescent="0.2">
      <c r="A330">
        <v>329</v>
      </c>
      <c r="B330" t="s">
        <v>378</v>
      </c>
      <c r="C330">
        <v>0</v>
      </c>
      <c r="H330" t="s">
        <v>378</v>
      </c>
      <c r="I330" t="s">
        <v>45</v>
      </c>
      <c r="Q330" t="s">
        <v>378</v>
      </c>
      <c r="R330">
        <v>675.1336867</v>
      </c>
      <c r="S330">
        <v>6</v>
      </c>
      <c r="T330">
        <v>130</v>
      </c>
      <c r="V330">
        <v>0</v>
      </c>
      <c r="W330">
        <v>0</v>
      </c>
      <c r="X330" t="s">
        <v>378</v>
      </c>
      <c r="Y330">
        <v>-1</v>
      </c>
      <c r="Z330">
        <v>6</v>
      </c>
      <c r="AA330">
        <v>675.13</v>
      </c>
      <c r="AB330">
        <v>130</v>
      </c>
      <c r="AC330">
        <v>32.979999999999997</v>
      </c>
      <c r="AD330">
        <v>0.37</v>
      </c>
      <c r="AE330">
        <v>0.09</v>
      </c>
      <c r="AF330">
        <v>0.13</v>
      </c>
      <c r="AG330">
        <v>1</v>
      </c>
      <c r="AH330">
        <v>32.979999999999997</v>
      </c>
      <c r="AI330">
        <v>32.979999999999997</v>
      </c>
      <c r="AJ330">
        <v>32.979999999999997</v>
      </c>
      <c r="AK330">
        <v>0.37</v>
      </c>
      <c r="AL330">
        <v>0.37</v>
      </c>
      <c r="AM330">
        <v>0.37</v>
      </c>
      <c r="AN330">
        <v>0.09</v>
      </c>
      <c r="AO330">
        <v>0.09</v>
      </c>
      <c r="AP330">
        <v>0.09</v>
      </c>
      <c r="AQ330">
        <v>675.1336867</v>
      </c>
      <c r="AR330">
        <v>1</v>
      </c>
      <c r="AS330">
        <v>329</v>
      </c>
      <c r="AT330">
        <v>1</v>
      </c>
      <c r="AU330">
        <v>329</v>
      </c>
      <c r="AV330">
        <v>6</v>
      </c>
      <c r="AW330" t="s">
        <v>744</v>
      </c>
      <c r="AX330" t="s">
        <v>45</v>
      </c>
      <c r="AY330" t="s">
        <v>501</v>
      </c>
      <c r="AZ330">
        <v>1747</v>
      </c>
      <c r="BA330" t="s">
        <v>745</v>
      </c>
      <c r="BB330">
        <v>1748</v>
      </c>
      <c r="BC330" t="s">
        <v>746</v>
      </c>
      <c r="BD330">
        <v>1980</v>
      </c>
      <c r="BE330">
        <v>1</v>
      </c>
      <c r="BF330">
        <v>836.70991509999999</v>
      </c>
    </row>
    <row r="331" spans="1:58" x14ac:dyDescent="0.2">
      <c r="A331">
        <v>330</v>
      </c>
      <c r="B331" t="s">
        <v>379</v>
      </c>
      <c r="C331">
        <v>0</v>
      </c>
      <c r="H331" t="s">
        <v>379</v>
      </c>
      <c r="I331" t="s">
        <v>45</v>
      </c>
      <c r="Q331" t="s">
        <v>379</v>
      </c>
      <c r="R331">
        <v>679.97501499999998</v>
      </c>
      <c r="S331">
        <v>6</v>
      </c>
      <c r="T331">
        <v>130</v>
      </c>
      <c r="V331">
        <v>0</v>
      </c>
      <c r="W331">
        <v>0</v>
      </c>
      <c r="X331" t="s">
        <v>379</v>
      </c>
      <c r="Y331">
        <v>-1</v>
      </c>
      <c r="Z331">
        <v>6</v>
      </c>
      <c r="AA331">
        <v>679.98</v>
      </c>
      <c r="AB331">
        <v>130</v>
      </c>
      <c r="AC331">
        <v>32.979999999999997</v>
      </c>
      <c r="AD331">
        <v>0.37</v>
      </c>
      <c r="AE331">
        <v>0.09</v>
      </c>
      <c r="AF331">
        <v>0.13</v>
      </c>
      <c r="AG331">
        <v>1</v>
      </c>
      <c r="AH331">
        <v>32.979999999999997</v>
      </c>
      <c r="AI331">
        <v>32.979999999999997</v>
      </c>
      <c r="AJ331">
        <v>32.979999999999997</v>
      </c>
      <c r="AK331">
        <v>0.37</v>
      </c>
      <c r="AL331">
        <v>0.37</v>
      </c>
      <c r="AM331">
        <v>0.37</v>
      </c>
      <c r="AN331">
        <v>0.09</v>
      </c>
      <c r="AO331">
        <v>0.09</v>
      </c>
      <c r="AP331">
        <v>0.09</v>
      </c>
      <c r="AQ331">
        <v>679.97501499999998</v>
      </c>
      <c r="AR331">
        <v>1</v>
      </c>
      <c r="AS331">
        <v>330</v>
      </c>
      <c r="AT331">
        <v>1</v>
      </c>
      <c r="AU331">
        <v>330</v>
      </c>
      <c r="AV331">
        <v>6</v>
      </c>
      <c r="AW331" t="s">
        <v>943</v>
      </c>
      <c r="AX331" t="s">
        <v>45</v>
      </c>
      <c r="AY331" t="s">
        <v>501</v>
      </c>
      <c r="AZ331">
        <v>1595</v>
      </c>
      <c r="BA331" t="s">
        <v>944</v>
      </c>
      <c r="BB331">
        <v>1748</v>
      </c>
      <c r="BC331" t="s">
        <v>746</v>
      </c>
      <c r="BD331">
        <v>1980</v>
      </c>
      <c r="BE331">
        <v>0</v>
      </c>
      <c r="BF331">
        <v>40.52418059</v>
      </c>
    </row>
    <row r="332" spans="1:58" x14ac:dyDescent="0.2">
      <c r="A332">
        <v>331</v>
      </c>
      <c r="B332" t="s">
        <v>380</v>
      </c>
      <c r="C332">
        <v>0</v>
      </c>
      <c r="H332" t="s">
        <v>380</v>
      </c>
      <c r="I332" t="s">
        <v>45</v>
      </c>
      <c r="Q332" t="s">
        <v>380</v>
      </c>
      <c r="R332">
        <v>516.13227429999995</v>
      </c>
      <c r="S332">
        <v>6</v>
      </c>
      <c r="T332">
        <v>130</v>
      </c>
      <c r="V332">
        <v>0</v>
      </c>
      <c r="W332">
        <v>0</v>
      </c>
      <c r="X332" t="s">
        <v>380</v>
      </c>
      <c r="Y332">
        <v>-1</v>
      </c>
      <c r="Z332">
        <v>6</v>
      </c>
      <c r="AA332">
        <v>516.13</v>
      </c>
      <c r="AB332">
        <v>130</v>
      </c>
      <c r="AC332">
        <v>32.979999999999997</v>
      </c>
      <c r="AD332">
        <v>0.37</v>
      </c>
      <c r="AE332">
        <v>7.0000000000000007E-2</v>
      </c>
      <c r="AF332">
        <v>0.13</v>
      </c>
      <c r="AG332">
        <v>1</v>
      </c>
      <c r="AH332">
        <v>32.979999999999997</v>
      </c>
      <c r="AI332">
        <v>32.979999999999997</v>
      </c>
      <c r="AJ332">
        <v>32.979999999999997</v>
      </c>
      <c r="AK332">
        <v>0.37</v>
      </c>
      <c r="AL332">
        <v>0.37</v>
      </c>
      <c r="AM332">
        <v>0.37</v>
      </c>
      <c r="AN332">
        <v>7.0000000000000007E-2</v>
      </c>
      <c r="AO332">
        <v>7.0000000000000007E-2</v>
      </c>
      <c r="AP332">
        <v>7.0000000000000007E-2</v>
      </c>
      <c r="AQ332">
        <v>516.13227429999995</v>
      </c>
      <c r="AR332">
        <v>1</v>
      </c>
      <c r="AS332">
        <v>331</v>
      </c>
      <c r="AT332">
        <v>1</v>
      </c>
      <c r="AU332">
        <v>331</v>
      </c>
      <c r="AV332">
        <v>6</v>
      </c>
      <c r="AW332" t="s">
        <v>747</v>
      </c>
      <c r="AX332" t="s">
        <v>45</v>
      </c>
      <c r="AY332" t="s">
        <v>501</v>
      </c>
      <c r="AZ332">
        <v>1596</v>
      </c>
      <c r="BA332" t="s">
        <v>748</v>
      </c>
      <c r="BB332">
        <v>1749</v>
      </c>
      <c r="BC332" t="s">
        <v>749</v>
      </c>
      <c r="BD332">
        <v>1980</v>
      </c>
      <c r="BE332">
        <v>0</v>
      </c>
      <c r="BF332">
        <v>25.76315533</v>
      </c>
    </row>
    <row r="333" spans="1:58" x14ac:dyDescent="0.2">
      <c r="A333">
        <v>332</v>
      </c>
      <c r="B333" t="s">
        <v>381</v>
      </c>
      <c r="C333">
        <v>0</v>
      </c>
      <c r="H333" t="s">
        <v>381</v>
      </c>
      <c r="I333" t="s">
        <v>45</v>
      </c>
      <c r="Q333" t="s">
        <v>381</v>
      </c>
      <c r="R333">
        <v>585.86577869999996</v>
      </c>
      <c r="S333">
        <v>6</v>
      </c>
      <c r="T333">
        <v>130</v>
      </c>
      <c r="V333">
        <v>0</v>
      </c>
      <c r="W333">
        <v>0</v>
      </c>
      <c r="X333" t="s">
        <v>381</v>
      </c>
      <c r="Y333">
        <v>-1</v>
      </c>
      <c r="Z333">
        <v>6</v>
      </c>
      <c r="AA333">
        <v>585.87</v>
      </c>
      <c r="AB333">
        <v>130</v>
      </c>
      <c r="AC333">
        <v>32.979999999999997</v>
      </c>
      <c r="AD333">
        <v>0.37</v>
      </c>
      <c r="AE333">
        <v>0.08</v>
      </c>
      <c r="AF333">
        <v>0.13</v>
      </c>
      <c r="AG333">
        <v>1</v>
      </c>
      <c r="AH333">
        <v>32.979999999999997</v>
      </c>
      <c r="AI333">
        <v>32.979999999999997</v>
      </c>
      <c r="AJ333">
        <v>32.979999999999997</v>
      </c>
      <c r="AK333">
        <v>0.37</v>
      </c>
      <c r="AL333">
        <v>0.37</v>
      </c>
      <c r="AM333">
        <v>0.37</v>
      </c>
      <c r="AN333">
        <v>0.08</v>
      </c>
      <c r="AO333">
        <v>0.08</v>
      </c>
      <c r="AP333">
        <v>0.08</v>
      </c>
      <c r="AQ333">
        <v>585.86577869999996</v>
      </c>
      <c r="AR333">
        <v>1</v>
      </c>
      <c r="AS333">
        <v>332</v>
      </c>
      <c r="AT333">
        <v>1</v>
      </c>
      <c r="AU333">
        <v>332</v>
      </c>
      <c r="AV333">
        <v>6</v>
      </c>
      <c r="AW333" t="s">
        <v>747</v>
      </c>
      <c r="AX333" t="s">
        <v>45</v>
      </c>
      <c r="AY333" t="s">
        <v>501</v>
      </c>
      <c r="AZ333">
        <v>1596</v>
      </c>
      <c r="BA333" t="s">
        <v>748</v>
      </c>
      <c r="BB333">
        <v>1749</v>
      </c>
      <c r="BC333" t="s">
        <v>749</v>
      </c>
      <c r="BD333">
        <v>1980</v>
      </c>
      <c r="BE333">
        <v>0</v>
      </c>
      <c r="BF333">
        <v>25.76315533</v>
      </c>
    </row>
    <row r="334" spans="1:58" x14ac:dyDescent="0.2">
      <c r="A334">
        <v>333</v>
      </c>
      <c r="B334" t="s">
        <v>382</v>
      </c>
      <c r="C334">
        <v>0</v>
      </c>
      <c r="H334" t="s">
        <v>382</v>
      </c>
      <c r="I334" t="s">
        <v>45</v>
      </c>
      <c r="Q334" t="s">
        <v>382</v>
      </c>
      <c r="R334">
        <v>122.2416235</v>
      </c>
      <c r="S334">
        <v>6</v>
      </c>
      <c r="T334">
        <v>130</v>
      </c>
      <c r="V334">
        <v>0</v>
      </c>
      <c r="W334">
        <v>0</v>
      </c>
      <c r="X334" t="s">
        <v>382</v>
      </c>
      <c r="Y334">
        <v>-1</v>
      </c>
      <c r="Z334">
        <v>6</v>
      </c>
      <c r="AA334">
        <v>122.24</v>
      </c>
      <c r="AB334">
        <v>130</v>
      </c>
      <c r="AC334">
        <v>21.2</v>
      </c>
      <c r="AD334">
        <v>0.24</v>
      </c>
      <c r="AE334">
        <v>0.01</v>
      </c>
      <c r="AF334">
        <v>0.06</v>
      </c>
      <c r="AG334">
        <v>1</v>
      </c>
      <c r="AH334">
        <v>21.2</v>
      </c>
      <c r="AI334">
        <v>21.2</v>
      </c>
      <c r="AJ334">
        <v>21.2</v>
      </c>
      <c r="AK334">
        <v>0.24</v>
      </c>
      <c r="AL334">
        <v>0.24</v>
      </c>
      <c r="AM334">
        <v>0.24</v>
      </c>
      <c r="AN334">
        <v>0.01</v>
      </c>
      <c r="AO334">
        <v>0.01</v>
      </c>
      <c r="AP334">
        <v>0.01</v>
      </c>
      <c r="AQ334">
        <v>122.2416235</v>
      </c>
      <c r="AR334">
        <v>1</v>
      </c>
      <c r="AS334">
        <v>333</v>
      </c>
      <c r="AT334">
        <v>1</v>
      </c>
      <c r="AU334">
        <v>333</v>
      </c>
      <c r="AV334">
        <v>6</v>
      </c>
      <c r="AW334" t="s">
        <v>945</v>
      </c>
      <c r="AX334" t="s">
        <v>45</v>
      </c>
      <c r="AY334" t="s">
        <v>501</v>
      </c>
      <c r="AZ334">
        <v>1598</v>
      </c>
      <c r="BA334" t="s">
        <v>946</v>
      </c>
      <c r="BB334">
        <v>1751</v>
      </c>
      <c r="BC334" t="s">
        <v>753</v>
      </c>
      <c r="BD334">
        <v>1980</v>
      </c>
      <c r="BE334">
        <v>0</v>
      </c>
      <c r="BF334">
        <v>15.326095860000001</v>
      </c>
    </row>
    <row r="335" spans="1:58" x14ac:dyDescent="0.2">
      <c r="A335">
        <v>334</v>
      </c>
      <c r="B335" t="s">
        <v>383</v>
      </c>
      <c r="C335">
        <v>0</v>
      </c>
      <c r="H335" t="s">
        <v>383</v>
      </c>
      <c r="I335" t="s">
        <v>45</v>
      </c>
      <c r="Q335" t="s">
        <v>383</v>
      </c>
      <c r="R335">
        <v>282.1254682</v>
      </c>
      <c r="S335">
        <v>6</v>
      </c>
      <c r="T335">
        <v>130</v>
      </c>
      <c r="V335">
        <v>0</v>
      </c>
      <c r="W335">
        <v>0</v>
      </c>
      <c r="X335" t="s">
        <v>383</v>
      </c>
      <c r="Y335">
        <v>-1</v>
      </c>
      <c r="Z335">
        <v>6</v>
      </c>
      <c r="AA335">
        <v>282.13</v>
      </c>
      <c r="AB335">
        <v>130</v>
      </c>
      <c r="AC335">
        <v>21.2</v>
      </c>
      <c r="AD335">
        <v>0.24</v>
      </c>
      <c r="AE335">
        <v>0.02</v>
      </c>
      <c r="AF335">
        <v>0.06</v>
      </c>
      <c r="AG335">
        <v>1</v>
      </c>
      <c r="AH335">
        <v>21.2</v>
      </c>
      <c r="AI335">
        <v>21.2</v>
      </c>
      <c r="AJ335">
        <v>21.2</v>
      </c>
      <c r="AK335">
        <v>0.24</v>
      </c>
      <c r="AL335">
        <v>0.24</v>
      </c>
      <c r="AM335">
        <v>0.24</v>
      </c>
      <c r="AN335">
        <v>0.02</v>
      </c>
      <c r="AO335">
        <v>0.02</v>
      </c>
      <c r="AP335">
        <v>0.02</v>
      </c>
      <c r="AQ335">
        <v>282.1254682</v>
      </c>
      <c r="AR335">
        <v>1</v>
      </c>
      <c r="AS335">
        <v>334</v>
      </c>
      <c r="AT335">
        <v>1</v>
      </c>
      <c r="AU335">
        <v>334</v>
      </c>
      <c r="AV335">
        <v>6</v>
      </c>
      <c r="AW335" t="s">
        <v>752</v>
      </c>
      <c r="AX335" t="s">
        <v>45</v>
      </c>
      <c r="AY335" t="s">
        <v>501</v>
      </c>
      <c r="AZ335">
        <v>1751</v>
      </c>
      <c r="BA335" t="s">
        <v>753</v>
      </c>
      <c r="BB335">
        <v>1058</v>
      </c>
      <c r="BC335" t="s">
        <v>754</v>
      </c>
      <c r="BD335">
        <v>1980</v>
      </c>
      <c r="BE335">
        <v>1</v>
      </c>
      <c r="BF335">
        <v>295.33031119999998</v>
      </c>
    </row>
    <row r="336" spans="1:58" x14ac:dyDescent="0.2">
      <c r="A336">
        <v>335</v>
      </c>
      <c r="B336" t="s">
        <v>384</v>
      </c>
      <c r="C336">
        <v>0</v>
      </c>
      <c r="H336" t="s">
        <v>384</v>
      </c>
      <c r="I336" t="s">
        <v>45</v>
      </c>
      <c r="Q336" t="s">
        <v>384</v>
      </c>
      <c r="R336">
        <v>2327.229652</v>
      </c>
      <c r="S336">
        <v>6</v>
      </c>
      <c r="T336">
        <v>130</v>
      </c>
      <c r="V336">
        <v>0</v>
      </c>
      <c r="W336">
        <v>0</v>
      </c>
      <c r="X336" t="s">
        <v>384</v>
      </c>
      <c r="Y336">
        <v>-1</v>
      </c>
      <c r="Z336">
        <v>6</v>
      </c>
      <c r="AA336">
        <v>2327.23</v>
      </c>
      <c r="AB336">
        <v>130</v>
      </c>
      <c r="AC336">
        <v>11.78</v>
      </c>
      <c r="AD336">
        <v>0.13</v>
      </c>
      <c r="AE336">
        <v>0.05</v>
      </c>
      <c r="AF336">
        <v>0.02</v>
      </c>
      <c r="AG336">
        <v>1</v>
      </c>
      <c r="AH336">
        <v>11.78</v>
      </c>
      <c r="AI336">
        <v>11.78</v>
      </c>
      <c r="AJ336">
        <v>11.78</v>
      </c>
      <c r="AK336">
        <v>0.13</v>
      </c>
      <c r="AL336">
        <v>0.13</v>
      </c>
      <c r="AM336">
        <v>0.13</v>
      </c>
      <c r="AN336">
        <v>0.05</v>
      </c>
      <c r="AO336">
        <v>0.05</v>
      </c>
      <c r="AP336">
        <v>0.05</v>
      </c>
      <c r="AQ336">
        <v>2327.229652</v>
      </c>
      <c r="AR336">
        <v>0</v>
      </c>
      <c r="AS336">
        <v>335</v>
      </c>
      <c r="AT336">
        <v>1</v>
      </c>
      <c r="AU336">
        <v>335</v>
      </c>
      <c r="AV336">
        <v>6</v>
      </c>
      <c r="AW336" t="s">
        <v>947</v>
      </c>
      <c r="AX336" t="s">
        <v>45</v>
      </c>
      <c r="AY336" t="s">
        <v>501</v>
      </c>
      <c r="AZ336">
        <v>1749</v>
      </c>
      <c r="BA336" t="s">
        <v>749</v>
      </c>
      <c r="BB336">
        <v>1044</v>
      </c>
      <c r="BC336" t="s">
        <v>948</v>
      </c>
      <c r="BD336">
        <v>1980</v>
      </c>
      <c r="BE336">
        <v>1</v>
      </c>
      <c r="BF336">
        <v>568.73752520000005</v>
      </c>
    </row>
    <row r="337" spans="1:58" x14ac:dyDescent="0.2">
      <c r="A337">
        <v>336</v>
      </c>
      <c r="B337" t="s">
        <v>385</v>
      </c>
      <c r="C337">
        <v>0</v>
      </c>
      <c r="H337" t="s">
        <v>385</v>
      </c>
      <c r="I337" t="s">
        <v>45</v>
      </c>
      <c r="Q337" t="s">
        <v>385</v>
      </c>
      <c r="R337">
        <v>28.687152619999999</v>
      </c>
      <c r="S337">
        <v>6</v>
      </c>
      <c r="T337">
        <v>130</v>
      </c>
      <c r="V337">
        <v>0</v>
      </c>
      <c r="W337">
        <v>0</v>
      </c>
      <c r="X337" t="s">
        <v>385</v>
      </c>
      <c r="Y337">
        <v>-1</v>
      </c>
      <c r="Z337">
        <v>6</v>
      </c>
      <c r="AA337">
        <v>28.69</v>
      </c>
      <c r="AB337">
        <v>130</v>
      </c>
      <c r="AC337">
        <v>5.7</v>
      </c>
      <c r="AD337">
        <v>0.06</v>
      </c>
      <c r="AE337">
        <v>0</v>
      </c>
      <c r="AF337">
        <v>0</v>
      </c>
      <c r="AG337">
        <v>1</v>
      </c>
      <c r="AH337">
        <v>5.7</v>
      </c>
      <c r="AI337">
        <v>5.7</v>
      </c>
      <c r="AJ337">
        <v>5.7</v>
      </c>
      <c r="AK337">
        <v>0.06</v>
      </c>
      <c r="AL337">
        <v>0.06</v>
      </c>
      <c r="AM337">
        <v>0.06</v>
      </c>
      <c r="AN337">
        <v>0</v>
      </c>
      <c r="AO337">
        <v>0</v>
      </c>
      <c r="AP337">
        <v>0</v>
      </c>
      <c r="AQ337">
        <v>28.687152619999999</v>
      </c>
      <c r="AR337">
        <v>0</v>
      </c>
      <c r="AS337">
        <v>336</v>
      </c>
      <c r="AT337">
        <v>1</v>
      </c>
      <c r="AU337">
        <v>336</v>
      </c>
      <c r="AV337">
        <v>8</v>
      </c>
      <c r="AW337" t="s">
        <v>729</v>
      </c>
      <c r="AX337" t="s">
        <v>146</v>
      </c>
      <c r="AY337" t="s">
        <v>501</v>
      </c>
      <c r="AZ337">
        <v>1743</v>
      </c>
      <c r="BA337" t="s">
        <v>730</v>
      </c>
      <c r="BB337">
        <v>980</v>
      </c>
      <c r="BC337" t="s">
        <v>731</v>
      </c>
      <c r="BD337">
        <v>1980</v>
      </c>
      <c r="BE337">
        <v>1</v>
      </c>
      <c r="BF337">
        <v>606.32458650000001</v>
      </c>
    </row>
    <row r="338" spans="1:58" x14ac:dyDescent="0.2">
      <c r="A338">
        <v>337</v>
      </c>
      <c r="B338" t="s">
        <v>386</v>
      </c>
      <c r="C338">
        <v>0</v>
      </c>
      <c r="H338" t="s">
        <v>386</v>
      </c>
      <c r="I338" t="s">
        <v>45</v>
      </c>
      <c r="Q338" t="s">
        <v>386</v>
      </c>
      <c r="R338">
        <v>192.7225832</v>
      </c>
      <c r="S338">
        <v>6</v>
      </c>
      <c r="T338">
        <v>130</v>
      </c>
      <c r="V338">
        <v>0</v>
      </c>
      <c r="W338">
        <v>0</v>
      </c>
      <c r="X338" t="s">
        <v>386</v>
      </c>
      <c r="Y338">
        <v>-1</v>
      </c>
      <c r="Z338">
        <v>6</v>
      </c>
      <c r="AA338">
        <v>192.72</v>
      </c>
      <c r="AB338">
        <v>130</v>
      </c>
      <c r="AC338">
        <v>5.7</v>
      </c>
      <c r="AD338">
        <v>0.06</v>
      </c>
      <c r="AE338">
        <v>0</v>
      </c>
      <c r="AF338">
        <v>0.01</v>
      </c>
      <c r="AG338">
        <v>1</v>
      </c>
      <c r="AH338">
        <v>5.7</v>
      </c>
      <c r="AI338">
        <v>5.7</v>
      </c>
      <c r="AJ338">
        <v>5.7</v>
      </c>
      <c r="AK338">
        <v>0.06</v>
      </c>
      <c r="AL338">
        <v>0.06</v>
      </c>
      <c r="AM338">
        <v>0.06</v>
      </c>
      <c r="AN338">
        <v>0</v>
      </c>
      <c r="AO338">
        <v>0</v>
      </c>
      <c r="AP338">
        <v>0</v>
      </c>
      <c r="AQ338">
        <v>192.7225832</v>
      </c>
      <c r="AR338">
        <v>0</v>
      </c>
      <c r="AS338">
        <v>337</v>
      </c>
      <c r="AT338">
        <v>1</v>
      </c>
      <c r="AU338">
        <v>337</v>
      </c>
      <c r="AV338">
        <v>6</v>
      </c>
      <c r="AW338" t="s">
        <v>949</v>
      </c>
      <c r="AX338" t="s">
        <v>45</v>
      </c>
      <c r="AY338" t="s">
        <v>501</v>
      </c>
      <c r="AZ338">
        <v>980</v>
      </c>
      <c r="BA338" t="s">
        <v>731</v>
      </c>
      <c r="BB338">
        <v>834</v>
      </c>
      <c r="BC338" t="s">
        <v>733</v>
      </c>
      <c r="BD338">
        <v>1980</v>
      </c>
      <c r="BE338">
        <v>0</v>
      </c>
      <c r="BF338">
        <v>203.36661000000001</v>
      </c>
    </row>
    <row r="339" spans="1:58" x14ac:dyDescent="0.2">
      <c r="A339">
        <v>338</v>
      </c>
      <c r="B339" t="s">
        <v>387</v>
      </c>
      <c r="C339">
        <v>0</v>
      </c>
      <c r="H339" t="s">
        <v>387</v>
      </c>
      <c r="I339" t="s">
        <v>45</v>
      </c>
      <c r="Q339" t="s">
        <v>387</v>
      </c>
      <c r="R339">
        <v>316.4482271</v>
      </c>
      <c r="S339">
        <v>6</v>
      </c>
      <c r="T339">
        <v>130</v>
      </c>
      <c r="V339">
        <v>0</v>
      </c>
      <c r="W339">
        <v>0</v>
      </c>
      <c r="X339" t="s">
        <v>387</v>
      </c>
      <c r="Y339">
        <v>-1</v>
      </c>
      <c r="Z339">
        <v>6</v>
      </c>
      <c r="AA339">
        <v>316.45</v>
      </c>
      <c r="AB339">
        <v>130</v>
      </c>
      <c r="AC339">
        <v>5.7</v>
      </c>
      <c r="AD339">
        <v>0.06</v>
      </c>
      <c r="AE339">
        <v>0</v>
      </c>
      <c r="AF339">
        <v>0.01</v>
      </c>
      <c r="AG339">
        <v>1</v>
      </c>
      <c r="AH339">
        <v>5.7</v>
      </c>
      <c r="AI339">
        <v>5.7</v>
      </c>
      <c r="AJ339">
        <v>5.7</v>
      </c>
      <c r="AK339">
        <v>0.06</v>
      </c>
      <c r="AL339">
        <v>0.06</v>
      </c>
      <c r="AM339">
        <v>0.06</v>
      </c>
      <c r="AN339">
        <v>0</v>
      </c>
      <c r="AO339">
        <v>0</v>
      </c>
      <c r="AP339">
        <v>0</v>
      </c>
      <c r="AQ339">
        <v>316.4482271</v>
      </c>
      <c r="AR339">
        <v>0</v>
      </c>
      <c r="AS339">
        <v>338</v>
      </c>
      <c r="AT339">
        <v>1</v>
      </c>
      <c r="AU339">
        <v>338</v>
      </c>
      <c r="AV339">
        <v>6</v>
      </c>
      <c r="AW339" t="s">
        <v>735</v>
      </c>
      <c r="AX339" t="s">
        <v>45</v>
      </c>
      <c r="AY339" t="s">
        <v>501</v>
      </c>
      <c r="AZ339">
        <v>1591</v>
      </c>
      <c r="BA339" t="s">
        <v>736</v>
      </c>
      <c r="BB339">
        <v>1744</v>
      </c>
      <c r="BC339" t="s">
        <v>737</v>
      </c>
      <c r="BD339">
        <v>1980</v>
      </c>
      <c r="BE339">
        <v>0</v>
      </c>
      <c r="BF339">
        <v>27.10431839</v>
      </c>
    </row>
    <row r="340" spans="1:58" x14ac:dyDescent="0.2">
      <c r="A340">
        <v>339</v>
      </c>
      <c r="B340" t="s">
        <v>388</v>
      </c>
      <c r="C340">
        <v>0</v>
      </c>
      <c r="H340" t="s">
        <v>388</v>
      </c>
      <c r="I340" t="s">
        <v>45</v>
      </c>
      <c r="Q340" t="s">
        <v>388</v>
      </c>
      <c r="R340">
        <v>442.94244400000002</v>
      </c>
      <c r="S340">
        <v>6</v>
      </c>
      <c r="T340">
        <v>130</v>
      </c>
      <c r="V340">
        <v>0</v>
      </c>
      <c r="W340">
        <v>0</v>
      </c>
      <c r="X340" t="s">
        <v>388</v>
      </c>
      <c r="Y340">
        <v>-1</v>
      </c>
      <c r="Z340">
        <v>6</v>
      </c>
      <c r="AA340">
        <v>442.94</v>
      </c>
      <c r="AB340">
        <v>130</v>
      </c>
      <c r="AC340">
        <v>5.7</v>
      </c>
      <c r="AD340">
        <v>0.06</v>
      </c>
      <c r="AE340">
        <v>0</v>
      </c>
      <c r="AF340">
        <v>0.01</v>
      </c>
      <c r="AG340">
        <v>1</v>
      </c>
      <c r="AH340">
        <v>5.7</v>
      </c>
      <c r="AI340">
        <v>5.7</v>
      </c>
      <c r="AJ340">
        <v>5.7</v>
      </c>
      <c r="AK340">
        <v>0.06</v>
      </c>
      <c r="AL340">
        <v>0.06</v>
      </c>
      <c r="AM340">
        <v>0.06</v>
      </c>
      <c r="AN340">
        <v>0</v>
      </c>
      <c r="AO340">
        <v>0</v>
      </c>
      <c r="AP340">
        <v>0</v>
      </c>
      <c r="AQ340">
        <v>442.94244400000002</v>
      </c>
      <c r="AR340">
        <v>0</v>
      </c>
      <c r="AS340">
        <v>339</v>
      </c>
      <c r="AT340">
        <v>1</v>
      </c>
      <c r="AU340">
        <v>339</v>
      </c>
      <c r="AV340">
        <v>6</v>
      </c>
      <c r="AW340" t="s">
        <v>738</v>
      </c>
      <c r="AX340" t="s">
        <v>45</v>
      </c>
      <c r="AY340" t="s">
        <v>501</v>
      </c>
      <c r="AZ340">
        <v>1745</v>
      </c>
      <c r="BA340" t="s">
        <v>739</v>
      </c>
      <c r="BB340">
        <v>934</v>
      </c>
      <c r="BC340" t="s">
        <v>740</v>
      </c>
      <c r="BD340">
        <v>1980</v>
      </c>
      <c r="BE340">
        <v>0</v>
      </c>
      <c r="BF340">
        <v>164.8088018</v>
      </c>
    </row>
    <row r="341" spans="1:58" x14ac:dyDescent="0.2">
      <c r="A341">
        <v>340</v>
      </c>
      <c r="B341" t="s">
        <v>389</v>
      </c>
      <c r="C341">
        <v>0</v>
      </c>
      <c r="H341" t="s">
        <v>389</v>
      </c>
      <c r="I341" t="s">
        <v>45</v>
      </c>
      <c r="Q341" t="s">
        <v>389</v>
      </c>
      <c r="R341">
        <v>117.7507131</v>
      </c>
      <c r="S341">
        <v>6</v>
      </c>
      <c r="T341">
        <v>130</v>
      </c>
      <c r="V341">
        <v>0</v>
      </c>
      <c r="W341">
        <v>0</v>
      </c>
      <c r="X341" t="s">
        <v>389</v>
      </c>
      <c r="Y341">
        <v>-1</v>
      </c>
      <c r="Z341">
        <v>6</v>
      </c>
      <c r="AA341">
        <v>117.75</v>
      </c>
      <c r="AB341">
        <v>130</v>
      </c>
      <c r="AC341">
        <v>5.7</v>
      </c>
      <c r="AD341">
        <v>0.06</v>
      </c>
      <c r="AE341">
        <v>0</v>
      </c>
      <c r="AF341">
        <v>0.01</v>
      </c>
      <c r="AG341">
        <v>1</v>
      </c>
      <c r="AH341">
        <v>5.7</v>
      </c>
      <c r="AI341">
        <v>5.7</v>
      </c>
      <c r="AJ341">
        <v>5.7</v>
      </c>
      <c r="AK341">
        <v>0.06</v>
      </c>
      <c r="AL341">
        <v>0.06</v>
      </c>
      <c r="AM341">
        <v>0.06</v>
      </c>
      <c r="AN341">
        <v>0</v>
      </c>
      <c r="AO341">
        <v>0</v>
      </c>
      <c r="AP341">
        <v>0</v>
      </c>
      <c r="AQ341">
        <v>117.7507131</v>
      </c>
      <c r="AR341">
        <v>0</v>
      </c>
      <c r="AS341">
        <v>340</v>
      </c>
      <c r="AT341">
        <v>1</v>
      </c>
      <c r="AU341">
        <v>340</v>
      </c>
      <c r="AV341">
        <v>6</v>
      </c>
      <c r="AW341" t="s">
        <v>738</v>
      </c>
      <c r="AX341" t="s">
        <v>45</v>
      </c>
      <c r="AY341" t="s">
        <v>501</v>
      </c>
      <c r="AZ341">
        <v>1745</v>
      </c>
      <c r="BA341" t="s">
        <v>739</v>
      </c>
      <c r="BB341">
        <v>934</v>
      </c>
      <c r="BC341" t="s">
        <v>740</v>
      </c>
      <c r="BD341">
        <v>1980</v>
      </c>
      <c r="BE341">
        <v>0</v>
      </c>
      <c r="BF341">
        <v>164.8088018</v>
      </c>
    </row>
    <row r="342" spans="1:58" x14ac:dyDescent="0.2">
      <c r="A342">
        <v>341</v>
      </c>
      <c r="B342" t="s">
        <v>390</v>
      </c>
      <c r="C342">
        <v>0</v>
      </c>
      <c r="H342" t="s">
        <v>390</v>
      </c>
      <c r="I342" t="s">
        <v>45</v>
      </c>
      <c r="Q342" t="s">
        <v>390</v>
      </c>
      <c r="R342">
        <v>221.15011870000001</v>
      </c>
      <c r="S342">
        <v>6</v>
      </c>
      <c r="T342">
        <v>130</v>
      </c>
      <c r="V342">
        <v>0</v>
      </c>
      <c r="W342">
        <v>0</v>
      </c>
      <c r="X342" t="s">
        <v>390</v>
      </c>
      <c r="Y342">
        <v>0</v>
      </c>
      <c r="Z342">
        <v>6</v>
      </c>
      <c r="AA342">
        <v>221.15</v>
      </c>
      <c r="AB342">
        <v>130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221.15011870000001</v>
      </c>
      <c r="AR342">
        <v>0</v>
      </c>
      <c r="AS342">
        <v>341</v>
      </c>
      <c r="AT342">
        <v>1</v>
      </c>
      <c r="AU342">
        <v>341</v>
      </c>
      <c r="AV342">
        <v>6</v>
      </c>
      <c r="AW342" t="s">
        <v>950</v>
      </c>
      <c r="AX342" t="s">
        <v>45</v>
      </c>
      <c r="AY342" t="s">
        <v>501</v>
      </c>
      <c r="AZ342">
        <v>934</v>
      </c>
      <c r="BA342" t="s">
        <v>740</v>
      </c>
      <c r="BB342">
        <v>981</v>
      </c>
      <c r="BC342" t="s">
        <v>951</v>
      </c>
      <c r="BD342">
        <v>1980</v>
      </c>
      <c r="BE342">
        <v>0</v>
      </c>
      <c r="BF342">
        <v>221.15003909999999</v>
      </c>
    </row>
    <row r="343" spans="1:58" x14ac:dyDescent="0.2">
      <c r="A343">
        <v>342</v>
      </c>
      <c r="B343" t="s">
        <v>391</v>
      </c>
      <c r="C343">
        <v>0</v>
      </c>
      <c r="H343" t="s">
        <v>391</v>
      </c>
      <c r="I343" t="s">
        <v>45</v>
      </c>
      <c r="Q343" t="s">
        <v>391</v>
      </c>
      <c r="R343">
        <v>62.021624269999997</v>
      </c>
      <c r="S343">
        <v>6</v>
      </c>
      <c r="T343">
        <v>130</v>
      </c>
      <c r="V343">
        <v>0</v>
      </c>
      <c r="W343">
        <v>0</v>
      </c>
      <c r="X343" t="s">
        <v>391</v>
      </c>
      <c r="Y343">
        <v>0</v>
      </c>
      <c r="Z343">
        <v>6</v>
      </c>
      <c r="AA343">
        <v>62.02</v>
      </c>
      <c r="AB343">
        <v>130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62.021624269999997</v>
      </c>
      <c r="AR343">
        <v>0</v>
      </c>
      <c r="AS343">
        <v>342</v>
      </c>
      <c r="AT343">
        <v>1</v>
      </c>
      <c r="AU343">
        <v>342</v>
      </c>
      <c r="AV343">
        <v>6</v>
      </c>
      <c r="AW343" t="s">
        <v>952</v>
      </c>
      <c r="AX343" t="s">
        <v>45</v>
      </c>
      <c r="AY343" t="s">
        <v>501</v>
      </c>
      <c r="AZ343">
        <v>834</v>
      </c>
      <c r="BA343" t="s">
        <v>733</v>
      </c>
      <c r="BB343">
        <v>1744</v>
      </c>
      <c r="BC343" t="s">
        <v>737</v>
      </c>
      <c r="BD343">
        <v>1980</v>
      </c>
      <c r="BE343">
        <v>0</v>
      </c>
      <c r="BF343">
        <v>289.5141213</v>
      </c>
    </row>
    <row r="344" spans="1:58" x14ac:dyDescent="0.2">
      <c r="A344">
        <v>343</v>
      </c>
      <c r="B344" t="s">
        <v>392</v>
      </c>
      <c r="C344">
        <v>0</v>
      </c>
      <c r="H344" t="s">
        <v>392</v>
      </c>
      <c r="I344" t="s">
        <v>45</v>
      </c>
      <c r="Q344" t="s">
        <v>392</v>
      </c>
      <c r="R344">
        <v>251.70746689999999</v>
      </c>
      <c r="S344">
        <v>6</v>
      </c>
      <c r="T344">
        <v>130</v>
      </c>
      <c r="V344">
        <v>0</v>
      </c>
      <c r="W344">
        <v>0</v>
      </c>
      <c r="X344" t="s">
        <v>392</v>
      </c>
      <c r="Y344">
        <v>-1</v>
      </c>
      <c r="Z344">
        <v>6</v>
      </c>
      <c r="AA344">
        <v>251.71</v>
      </c>
      <c r="AB344">
        <v>130</v>
      </c>
      <c r="AC344">
        <v>5.7</v>
      </c>
      <c r="AD344">
        <v>0.06</v>
      </c>
      <c r="AE344">
        <v>0</v>
      </c>
      <c r="AF344">
        <v>0.01</v>
      </c>
      <c r="AG344">
        <v>1</v>
      </c>
      <c r="AH344">
        <v>5.7</v>
      </c>
      <c r="AI344">
        <v>5.7</v>
      </c>
      <c r="AJ344">
        <v>5.7</v>
      </c>
      <c r="AK344">
        <v>0.06</v>
      </c>
      <c r="AL344">
        <v>0.06</v>
      </c>
      <c r="AM344">
        <v>0.06</v>
      </c>
      <c r="AN344">
        <v>0</v>
      </c>
      <c r="AO344">
        <v>0</v>
      </c>
      <c r="AP344">
        <v>0</v>
      </c>
      <c r="AQ344">
        <v>251.70746689999999</v>
      </c>
      <c r="AR344">
        <v>0</v>
      </c>
      <c r="AS344">
        <v>343</v>
      </c>
      <c r="AT344">
        <v>1</v>
      </c>
      <c r="AU344">
        <v>343</v>
      </c>
      <c r="AV344">
        <v>6</v>
      </c>
      <c r="AW344" t="s">
        <v>950</v>
      </c>
      <c r="AX344" t="s">
        <v>45</v>
      </c>
      <c r="AY344" t="s">
        <v>501</v>
      </c>
      <c r="AZ344">
        <v>934</v>
      </c>
      <c r="BA344" t="s">
        <v>740</v>
      </c>
      <c r="BB344">
        <v>981</v>
      </c>
      <c r="BC344" t="s">
        <v>951</v>
      </c>
      <c r="BD344">
        <v>1980</v>
      </c>
      <c r="BE344">
        <v>0</v>
      </c>
      <c r="BF344">
        <v>221.15003909999999</v>
      </c>
    </row>
    <row r="345" spans="1:58" x14ac:dyDescent="0.2">
      <c r="A345">
        <v>344</v>
      </c>
      <c r="B345" t="s">
        <v>393</v>
      </c>
      <c r="C345">
        <v>0</v>
      </c>
      <c r="H345" t="s">
        <v>393</v>
      </c>
      <c r="I345" t="s">
        <v>45</v>
      </c>
      <c r="Q345" t="s">
        <v>393</v>
      </c>
      <c r="R345">
        <v>278.83307439999999</v>
      </c>
      <c r="S345">
        <v>6</v>
      </c>
      <c r="T345">
        <v>130</v>
      </c>
      <c r="V345">
        <v>0</v>
      </c>
      <c r="W345">
        <v>0</v>
      </c>
      <c r="X345" t="s">
        <v>393</v>
      </c>
      <c r="Y345">
        <v>-1</v>
      </c>
      <c r="Z345">
        <v>6</v>
      </c>
      <c r="AA345">
        <v>278.83</v>
      </c>
      <c r="AB345">
        <v>130</v>
      </c>
      <c r="AC345">
        <v>5.7</v>
      </c>
      <c r="AD345">
        <v>0.06</v>
      </c>
      <c r="AE345">
        <v>0</v>
      </c>
      <c r="AF345">
        <v>0.01</v>
      </c>
      <c r="AG345">
        <v>1</v>
      </c>
      <c r="AH345">
        <v>5.7</v>
      </c>
      <c r="AI345">
        <v>5.7</v>
      </c>
      <c r="AJ345">
        <v>5.7</v>
      </c>
      <c r="AK345">
        <v>0.06</v>
      </c>
      <c r="AL345">
        <v>0.06</v>
      </c>
      <c r="AM345">
        <v>0.06</v>
      </c>
      <c r="AN345">
        <v>0</v>
      </c>
      <c r="AO345">
        <v>0</v>
      </c>
      <c r="AP345">
        <v>0</v>
      </c>
      <c r="AQ345">
        <v>278.83307439999999</v>
      </c>
      <c r="AR345">
        <v>0</v>
      </c>
      <c r="AS345">
        <v>344</v>
      </c>
      <c r="AT345">
        <v>1</v>
      </c>
      <c r="AU345">
        <v>344</v>
      </c>
      <c r="AV345">
        <v>8</v>
      </c>
      <c r="AW345" t="s">
        <v>812</v>
      </c>
      <c r="AX345" t="s">
        <v>146</v>
      </c>
      <c r="AY345" t="s">
        <v>501</v>
      </c>
      <c r="AZ345">
        <v>980</v>
      </c>
      <c r="BA345" t="s">
        <v>731</v>
      </c>
      <c r="BB345">
        <v>935</v>
      </c>
      <c r="BC345" t="s">
        <v>813</v>
      </c>
      <c r="BD345">
        <v>1980</v>
      </c>
      <c r="BE345">
        <v>1</v>
      </c>
      <c r="BF345">
        <v>524.07987030000004</v>
      </c>
    </row>
    <row r="346" spans="1:58" x14ac:dyDescent="0.2">
      <c r="A346">
        <v>345</v>
      </c>
      <c r="B346" t="s">
        <v>394</v>
      </c>
      <c r="C346">
        <v>0</v>
      </c>
      <c r="H346" t="s">
        <v>394</v>
      </c>
      <c r="I346" t="s">
        <v>45</v>
      </c>
      <c r="Q346" t="s">
        <v>394</v>
      </c>
      <c r="R346">
        <v>268.18537789999999</v>
      </c>
      <c r="S346">
        <v>6</v>
      </c>
      <c r="T346">
        <v>130</v>
      </c>
      <c r="V346">
        <v>0</v>
      </c>
      <c r="W346">
        <v>0</v>
      </c>
      <c r="X346" t="s">
        <v>394</v>
      </c>
      <c r="Y346">
        <v>0</v>
      </c>
      <c r="Z346">
        <v>6</v>
      </c>
      <c r="AA346">
        <v>268.19</v>
      </c>
      <c r="AB346">
        <v>130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268.18537789999999</v>
      </c>
      <c r="AR346">
        <v>0</v>
      </c>
      <c r="AS346">
        <v>345</v>
      </c>
      <c r="AT346">
        <v>1</v>
      </c>
      <c r="AU346">
        <v>345</v>
      </c>
      <c r="AV346">
        <v>6</v>
      </c>
      <c r="AW346" t="s">
        <v>953</v>
      </c>
      <c r="AX346" t="s">
        <v>45</v>
      </c>
      <c r="AY346" t="s">
        <v>501</v>
      </c>
      <c r="AZ346">
        <v>934</v>
      </c>
      <c r="BA346" t="s">
        <v>740</v>
      </c>
      <c r="BB346">
        <v>870</v>
      </c>
      <c r="BC346" t="s">
        <v>954</v>
      </c>
      <c r="BD346">
        <v>1980</v>
      </c>
      <c r="BE346">
        <v>0</v>
      </c>
      <c r="BF346">
        <v>251.70773969999999</v>
      </c>
    </row>
    <row r="347" spans="1:58" x14ac:dyDescent="0.2">
      <c r="A347">
        <v>346</v>
      </c>
      <c r="B347" t="s">
        <v>395</v>
      </c>
      <c r="C347">
        <v>0</v>
      </c>
      <c r="H347" t="s">
        <v>395</v>
      </c>
      <c r="I347" t="s">
        <v>45</v>
      </c>
      <c r="Q347" t="s">
        <v>395</v>
      </c>
      <c r="R347">
        <v>22.662879310000001</v>
      </c>
      <c r="S347">
        <v>6</v>
      </c>
      <c r="T347">
        <v>130</v>
      </c>
      <c r="V347">
        <v>0</v>
      </c>
      <c r="W347">
        <v>0</v>
      </c>
      <c r="X347" t="s">
        <v>395</v>
      </c>
      <c r="Y347">
        <v>-1</v>
      </c>
      <c r="Z347">
        <v>6</v>
      </c>
      <c r="AA347">
        <v>22.66</v>
      </c>
      <c r="AB347">
        <v>130</v>
      </c>
      <c r="AC347">
        <v>17.87</v>
      </c>
      <c r="AD347">
        <v>0.2</v>
      </c>
      <c r="AE347">
        <v>0</v>
      </c>
      <c r="AF347">
        <v>0.04</v>
      </c>
      <c r="AG347">
        <v>1</v>
      </c>
      <c r="AH347">
        <v>17.87</v>
      </c>
      <c r="AI347">
        <v>17.87</v>
      </c>
      <c r="AJ347">
        <v>17.87</v>
      </c>
      <c r="AK347">
        <v>0.2</v>
      </c>
      <c r="AL347">
        <v>0.2</v>
      </c>
      <c r="AM347">
        <v>0.2</v>
      </c>
      <c r="AN347">
        <v>0</v>
      </c>
      <c r="AO347">
        <v>0</v>
      </c>
      <c r="AP347">
        <v>0</v>
      </c>
      <c r="AQ347">
        <v>22.662879310000001</v>
      </c>
      <c r="AR347">
        <v>0</v>
      </c>
      <c r="AS347">
        <v>346</v>
      </c>
      <c r="AT347">
        <v>1</v>
      </c>
      <c r="AU347">
        <v>346</v>
      </c>
      <c r="AV347">
        <v>6</v>
      </c>
      <c r="AW347" t="s">
        <v>594</v>
      </c>
      <c r="AX347" t="s">
        <v>45</v>
      </c>
      <c r="AY347" t="s">
        <v>501</v>
      </c>
      <c r="AZ347">
        <v>971</v>
      </c>
      <c r="BA347" t="s">
        <v>595</v>
      </c>
      <c r="BB347">
        <v>1695</v>
      </c>
      <c r="BC347" t="s">
        <v>596</v>
      </c>
      <c r="BD347">
        <v>1930</v>
      </c>
      <c r="BE347">
        <v>0</v>
      </c>
      <c r="BF347">
        <v>504.86634759999998</v>
      </c>
    </row>
    <row r="348" spans="1:58" x14ac:dyDescent="0.2">
      <c r="A348">
        <v>347</v>
      </c>
      <c r="B348" t="s">
        <v>396</v>
      </c>
      <c r="C348">
        <v>0</v>
      </c>
      <c r="H348" t="s">
        <v>396</v>
      </c>
      <c r="I348" t="s">
        <v>45</v>
      </c>
      <c r="Q348" t="s">
        <v>396</v>
      </c>
      <c r="R348">
        <v>482.20345070000002</v>
      </c>
      <c r="S348">
        <v>6</v>
      </c>
      <c r="T348">
        <v>130</v>
      </c>
      <c r="V348">
        <v>0</v>
      </c>
      <c r="W348">
        <v>0</v>
      </c>
      <c r="X348" t="s">
        <v>396</v>
      </c>
      <c r="Y348">
        <v>-1</v>
      </c>
      <c r="Z348">
        <v>6</v>
      </c>
      <c r="AA348">
        <v>482.2</v>
      </c>
      <c r="AB348">
        <v>130</v>
      </c>
      <c r="AC348">
        <v>17.87</v>
      </c>
      <c r="AD348">
        <v>0.2</v>
      </c>
      <c r="AE348">
        <v>0.02</v>
      </c>
      <c r="AF348">
        <v>0.04</v>
      </c>
      <c r="AG348">
        <v>1</v>
      </c>
      <c r="AH348">
        <v>17.87</v>
      </c>
      <c r="AI348">
        <v>17.87</v>
      </c>
      <c r="AJ348">
        <v>17.87</v>
      </c>
      <c r="AK348">
        <v>0.2</v>
      </c>
      <c r="AL348">
        <v>0.2</v>
      </c>
      <c r="AM348">
        <v>0.2</v>
      </c>
      <c r="AN348">
        <v>0.02</v>
      </c>
      <c r="AO348">
        <v>0.02</v>
      </c>
      <c r="AP348">
        <v>0.02</v>
      </c>
      <c r="AQ348">
        <v>482.20345070000002</v>
      </c>
      <c r="AR348">
        <v>0</v>
      </c>
      <c r="AS348">
        <v>347</v>
      </c>
      <c r="AT348">
        <v>1</v>
      </c>
      <c r="AU348">
        <v>347</v>
      </c>
      <c r="AV348">
        <v>6</v>
      </c>
      <c r="AW348" t="s">
        <v>594</v>
      </c>
      <c r="AX348" t="s">
        <v>45</v>
      </c>
      <c r="AY348" t="s">
        <v>501</v>
      </c>
      <c r="AZ348">
        <v>971</v>
      </c>
      <c r="BA348" t="s">
        <v>595</v>
      </c>
      <c r="BB348">
        <v>1695</v>
      </c>
      <c r="BC348" t="s">
        <v>596</v>
      </c>
      <c r="BD348">
        <v>1930</v>
      </c>
      <c r="BE348">
        <v>0</v>
      </c>
      <c r="BF348">
        <v>504.86634759999998</v>
      </c>
    </row>
    <row r="349" spans="1:58" x14ac:dyDescent="0.2">
      <c r="A349">
        <v>348</v>
      </c>
      <c r="B349" t="s">
        <v>397</v>
      </c>
      <c r="C349">
        <v>0</v>
      </c>
      <c r="H349" t="s">
        <v>397</v>
      </c>
      <c r="I349" t="s">
        <v>45</v>
      </c>
      <c r="Q349" t="s">
        <v>397</v>
      </c>
      <c r="R349">
        <v>339.37471599999998</v>
      </c>
      <c r="S349">
        <v>6</v>
      </c>
      <c r="T349">
        <v>130</v>
      </c>
      <c r="V349">
        <v>0</v>
      </c>
      <c r="W349">
        <v>0</v>
      </c>
      <c r="X349" t="s">
        <v>397</v>
      </c>
      <c r="Y349">
        <v>-1</v>
      </c>
      <c r="Z349">
        <v>6</v>
      </c>
      <c r="AA349">
        <v>339.37</v>
      </c>
      <c r="AB349">
        <v>130</v>
      </c>
      <c r="AC349">
        <v>17.87</v>
      </c>
      <c r="AD349">
        <v>0.2</v>
      </c>
      <c r="AE349">
        <v>0.01</v>
      </c>
      <c r="AF349">
        <v>0.04</v>
      </c>
      <c r="AG349">
        <v>1</v>
      </c>
      <c r="AH349">
        <v>17.87</v>
      </c>
      <c r="AI349">
        <v>17.87</v>
      </c>
      <c r="AJ349">
        <v>17.87</v>
      </c>
      <c r="AK349">
        <v>0.2</v>
      </c>
      <c r="AL349">
        <v>0.2</v>
      </c>
      <c r="AM349">
        <v>0.2</v>
      </c>
      <c r="AN349">
        <v>0.01</v>
      </c>
      <c r="AO349">
        <v>0.01</v>
      </c>
      <c r="AP349">
        <v>0.01</v>
      </c>
      <c r="AQ349">
        <v>339.37471599999998</v>
      </c>
      <c r="AR349">
        <v>0</v>
      </c>
      <c r="AS349">
        <v>348</v>
      </c>
      <c r="AT349">
        <v>1</v>
      </c>
      <c r="AU349">
        <v>348</v>
      </c>
      <c r="AV349">
        <v>6</v>
      </c>
      <c r="AW349" t="s">
        <v>955</v>
      </c>
      <c r="AX349" t="s">
        <v>45</v>
      </c>
      <c r="AY349" t="s">
        <v>501</v>
      </c>
      <c r="AZ349">
        <v>1537</v>
      </c>
      <c r="BA349" t="s">
        <v>956</v>
      </c>
      <c r="BB349">
        <v>1695</v>
      </c>
      <c r="BC349" t="s">
        <v>596</v>
      </c>
      <c r="BD349">
        <v>1930</v>
      </c>
      <c r="BE349">
        <v>0</v>
      </c>
      <c r="BF349">
        <v>34.708361859999997</v>
      </c>
    </row>
    <row r="350" spans="1:58" x14ac:dyDescent="0.2">
      <c r="A350">
        <v>349</v>
      </c>
      <c r="B350" t="s">
        <v>398</v>
      </c>
      <c r="C350">
        <v>0</v>
      </c>
      <c r="H350" t="s">
        <v>398</v>
      </c>
      <c r="I350" t="s">
        <v>45</v>
      </c>
      <c r="Q350" t="s">
        <v>398</v>
      </c>
      <c r="R350">
        <v>34.969957809999997</v>
      </c>
      <c r="S350">
        <v>6</v>
      </c>
      <c r="T350">
        <v>130</v>
      </c>
      <c r="V350">
        <v>0</v>
      </c>
      <c r="W350">
        <v>0</v>
      </c>
      <c r="X350" t="s">
        <v>398</v>
      </c>
      <c r="Y350">
        <v>-1</v>
      </c>
      <c r="Z350">
        <v>6</v>
      </c>
      <c r="AA350">
        <v>34.97</v>
      </c>
      <c r="AB350">
        <v>130</v>
      </c>
      <c r="AC350">
        <v>17.41</v>
      </c>
      <c r="AD350">
        <v>0.2</v>
      </c>
      <c r="AE350">
        <v>0</v>
      </c>
      <c r="AF350">
        <v>0.04</v>
      </c>
      <c r="AG350">
        <v>1</v>
      </c>
      <c r="AH350">
        <v>17.41</v>
      </c>
      <c r="AI350">
        <v>17.41</v>
      </c>
      <c r="AJ350">
        <v>17.41</v>
      </c>
      <c r="AK350">
        <v>0.2</v>
      </c>
      <c r="AL350">
        <v>0.2</v>
      </c>
      <c r="AM350">
        <v>0.2</v>
      </c>
      <c r="AN350">
        <v>0</v>
      </c>
      <c r="AO350">
        <v>0</v>
      </c>
      <c r="AP350">
        <v>0</v>
      </c>
      <c r="AQ350">
        <v>34.969957809999997</v>
      </c>
      <c r="AR350">
        <v>0</v>
      </c>
      <c r="AS350">
        <v>349</v>
      </c>
      <c r="AT350">
        <v>1</v>
      </c>
      <c r="AU350">
        <v>349</v>
      </c>
      <c r="AV350">
        <v>6</v>
      </c>
      <c r="AW350" t="s">
        <v>957</v>
      </c>
      <c r="AX350" t="s">
        <v>158</v>
      </c>
      <c r="AY350" t="s">
        <v>501</v>
      </c>
      <c r="AZ350">
        <v>950</v>
      </c>
      <c r="BA350" t="s">
        <v>851</v>
      </c>
      <c r="BB350">
        <v>967</v>
      </c>
      <c r="BC350" t="s">
        <v>590</v>
      </c>
      <c r="BD350">
        <v>1950</v>
      </c>
      <c r="BE350">
        <v>0</v>
      </c>
      <c r="BF350">
        <v>73.097570390000001</v>
      </c>
    </row>
    <row r="351" spans="1:58" x14ac:dyDescent="0.2">
      <c r="A351">
        <v>350</v>
      </c>
      <c r="B351" t="s">
        <v>399</v>
      </c>
      <c r="C351">
        <v>0</v>
      </c>
      <c r="H351" t="s">
        <v>399</v>
      </c>
      <c r="I351" t="s">
        <v>45</v>
      </c>
      <c r="Q351" t="s">
        <v>399</v>
      </c>
      <c r="R351">
        <v>630.85740880000003</v>
      </c>
      <c r="S351">
        <v>6</v>
      </c>
      <c r="T351">
        <v>130</v>
      </c>
      <c r="V351">
        <v>0</v>
      </c>
      <c r="W351">
        <v>0</v>
      </c>
      <c r="X351" t="s">
        <v>399</v>
      </c>
      <c r="Y351">
        <v>-1</v>
      </c>
      <c r="Z351">
        <v>6</v>
      </c>
      <c r="AA351">
        <v>630.86</v>
      </c>
      <c r="AB351">
        <v>130</v>
      </c>
      <c r="AC351">
        <v>17.41</v>
      </c>
      <c r="AD351">
        <v>0.2</v>
      </c>
      <c r="AE351">
        <v>0.03</v>
      </c>
      <c r="AF351">
        <v>0.04</v>
      </c>
      <c r="AG351">
        <v>1</v>
      </c>
      <c r="AH351">
        <v>17.41</v>
      </c>
      <c r="AI351">
        <v>17.41</v>
      </c>
      <c r="AJ351">
        <v>17.41</v>
      </c>
      <c r="AK351">
        <v>0.2</v>
      </c>
      <c r="AL351">
        <v>0.2</v>
      </c>
      <c r="AM351">
        <v>0.2</v>
      </c>
      <c r="AN351">
        <v>0.03</v>
      </c>
      <c r="AO351">
        <v>0.03</v>
      </c>
      <c r="AP351">
        <v>0.03</v>
      </c>
      <c r="AQ351">
        <v>630.85740880000003</v>
      </c>
      <c r="AR351">
        <v>0</v>
      </c>
      <c r="AS351">
        <v>350</v>
      </c>
      <c r="AT351">
        <v>1</v>
      </c>
      <c r="AU351">
        <v>350</v>
      </c>
      <c r="AV351">
        <v>6</v>
      </c>
      <c r="AW351" t="s">
        <v>958</v>
      </c>
      <c r="AX351" t="s">
        <v>45</v>
      </c>
      <c r="AY351" t="s">
        <v>501</v>
      </c>
      <c r="AZ351">
        <v>950</v>
      </c>
      <c r="BA351" t="s">
        <v>851</v>
      </c>
      <c r="BB351">
        <v>951</v>
      </c>
      <c r="BC351" t="s">
        <v>587</v>
      </c>
      <c r="BD351">
        <v>1950</v>
      </c>
      <c r="BE351">
        <v>0</v>
      </c>
      <c r="BF351">
        <v>701.76301479999995</v>
      </c>
    </row>
    <row r="352" spans="1:58" x14ac:dyDescent="0.2">
      <c r="A352">
        <v>351</v>
      </c>
      <c r="B352" t="s">
        <v>400</v>
      </c>
      <c r="C352">
        <v>0</v>
      </c>
      <c r="H352" t="s">
        <v>400</v>
      </c>
      <c r="I352" t="s">
        <v>45</v>
      </c>
      <c r="Q352" t="s">
        <v>400</v>
      </c>
      <c r="R352">
        <v>32.060694859999998</v>
      </c>
      <c r="S352">
        <v>6</v>
      </c>
      <c r="T352">
        <v>130</v>
      </c>
      <c r="V352">
        <v>0</v>
      </c>
      <c r="W352">
        <v>0</v>
      </c>
      <c r="X352" t="s">
        <v>400</v>
      </c>
      <c r="Y352">
        <v>-1</v>
      </c>
      <c r="Z352">
        <v>6</v>
      </c>
      <c r="AA352">
        <v>32.06</v>
      </c>
      <c r="AB352">
        <v>130</v>
      </c>
      <c r="AC352">
        <v>17.41</v>
      </c>
      <c r="AD352">
        <v>0.2</v>
      </c>
      <c r="AE352">
        <v>0</v>
      </c>
      <c r="AF352">
        <v>0.04</v>
      </c>
      <c r="AG352">
        <v>1</v>
      </c>
      <c r="AH352">
        <v>17.41</v>
      </c>
      <c r="AI352">
        <v>17.41</v>
      </c>
      <c r="AJ352">
        <v>17.41</v>
      </c>
      <c r="AK352">
        <v>0.2</v>
      </c>
      <c r="AL352">
        <v>0.2</v>
      </c>
      <c r="AM352">
        <v>0.2</v>
      </c>
      <c r="AN352">
        <v>0</v>
      </c>
      <c r="AO352">
        <v>0</v>
      </c>
      <c r="AP352">
        <v>0</v>
      </c>
      <c r="AQ352">
        <v>32.060694859999998</v>
      </c>
      <c r="AR352">
        <v>0</v>
      </c>
      <c r="AS352">
        <v>351</v>
      </c>
      <c r="AT352">
        <v>1</v>
      </c>
      <c r="AU352">
        <v>351</v>
      </c>
      <c r="AV352">
        <v>6</v>
      </c>
      <c r="AW352" t="s">
        <v>832</v>
      </c>
      <c r="AX352" t="s">
        <v>158</v>
      </c>
      <c r="AY352" t="s">
        <v>501</v>
      </c>
      <c r="AZ352">
        <v>985</v>
      </c>
      <c r="BA352" t="s">
        <v>833</v>
      </c>
      <c r="BB352">
        <v>951</v>
      </c>
      <c r="BC352" t="s">
        <v>587</v>
      </c>
      <c r="BD352">
        <v>1950</v>
      </c>
      <c r="BE352">
        <v>0</v>
      </c>
      <c r="BF352">
        <v>714.99941049999995</v>
      </c>
    </row>
    <row r="353" spans="1:58" x14ac:dyDescent="0.2">
      <c r="A353">
        <v>352</v>
      </c>
      <c r="B353" t="s">
        <v>401</v>
      </c>
      <c r="C353">
        <v>0</v>
      </c>
      <c r="H353" t="s">
        <v>401</v>
      </c>
      <c r="I353" t="s">
        <v>45</v>
      </c>
      <c r="Q353" t="s">
        <v>401</v>
      </c>
      <c r="R353">
        <v>52.684601260000001</v>
      </c>
      <c r="S353">
        <v>6</v>
      </c>
      <c r="T353">
        <v>130</v>
      </c>
      <c r="V353">
        <v>0</v>
      </c>
      <c r="W353">
        <v>0</v>
      </c>
      <c r="X353" t="s">
        <v>401</v>
      </c>
      <c r="Y353">
        <v>0</v>
      </c>
      <c r="Z353">
        <v>6</v>
      </c>
      <c r="AA353">
        <v>52.68</v>
      </c>
      <c r="AB353">
        <v>130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52.684601260000001</v>
      </c>
      <c r="AR353">
        <v>0</v>
      </c>
      <c r="AS353">
        <v>352</v>
      </c>
      <c r="AT353">
        <v>1</v>
      </c>
      <c r="AU353">
        <v>352</v>
      </c>
      <c r="AV353">
        <v>6</v>
      </c>
      <c r="AW353" t="s">
        <v>675</v>
      </c>
      <c r="AX353" t="s">
        <v>45</v>
      </c>
      <c r="AY353" t="s">
        <v>501</v>
      </c>
      <c r="AZ353">
        <v>1032</v>
      </c>
      <c r="BA353" t="s">
        <v>676</v>
      </c>
      <c r="BB353">
        <v>1722</v>
      </c>
      <c r="BC353" t="s">
        <v>677</v>
      </c>
      <c r="BD353">
        <v>2000</v>
      </c>
      <c r="BE353">
        <v>0</v>
      </c>
      <c r="BF353">
        <v>54.234903850000002</v>
      </c>
    </row>
    <row r="354" spans="1:58" x14ac:dyDescent="0.2">
      <c r="A354">
        <v>353</v>
      </c>
      <c r="B354" t="s">
        <v>402</v>
      </c>
      <c r="C354">
        <v>0</v>
      </c>
      <c r="H354" t="s">
        <v>402</v>
      </c>
      <c r="I354" t="s">
        <v>45</v>
      </c>
      <c r="Q354" t="s">
        <v>402</v>
      </c>
      <c r="R354">
        <v>1053.3408509999999</v>
      </c>
      <c r="S354">
        <v>6</v>
      </c>
      <c r="T354">
        <v>130</v>
      </c>
      <c r="V354">
        <v>0</v>
      </c>
      <c r="W354">
        <v>0</v>
      </c>
      <c r="X354" t="s">
        <v>402</v>
      </c>
      <c r="Y354">
        <v>0</v>
      </c>
      <c r="Z354">
        <v>6</v>
      </c>
      <c r="AA354">
        <v>1053.3399999999999</v>
      </c>
      <c r="AB354">
        <v>130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1053.3408509999999</v>
      </c>
      <c r="AR354">
        <v>0</v>
      </c>
      <c r="AS354">
        <v>353</v>
      </c>
      <c r="AT354">
        <v>1</v>
      </c>
      <c r="AU354">
        <v>353</v>
      </c>
      <c r="AV354">
        <v>6</v>
      </c>
      <c r="AW354" t="s">
        <v>959</v>
      </c>
      <c r="AX354" t="s">
        <v>45</v>
      </c>
      <c r="AY354" t="s">
        <v>501</v>
      </c>
      <c r="AZ354">
        <v>1567</v>
      </c>
      <c r="BA354" t="s">
        <v>960</v>
      </c>
      <c r="BB354">
        <v>1722</v>
      </c>
      <c r="BC354" t="s">
        <v>677</v>
      </c>
      <c r="BD354">
        <v>2000</v>
      </c>
      <c r="BE354">
        <v>0</v>
      </c>
      <c r="BF354">
        <v>29.960236040000002</v>
      </c>
    </row>
    <row r="355" spans="1:58" x14ac:dyDescent="0.2">
      <c r="A355">
        <v>354</v>
      </c>
      <c r="B355" t="s">
        <v>403</v>
      </c>
      <c r="C355">
        <v>0</v>
      </c>
      <c r="H355" t="s">
        <v>403</v>
      </c>
      <c r="I355" t="s">
        <v>45</v>
      </c>
      <c r="Q355" t="s">
        <v>403</v>
      </c>
      <c r="R355">
        <v>754.21066410000003</v>
      </c>
      <c r="S355">
        <v>6</v>
      </c>
      <c r="T355">
        <v>130</v>
      </c>
      <c r="V355">
        <v>0</v>
      </c>
      <c r="W355">
        <v>0</v>
      </c>
      <c r="X355" t="s">
        <v>403</v>
      </c>
      <c r="Y355">
        <v>-1</v>
      </c>
      <c r="Z355">
        <v>6</v>
      </c>
      <c r="AA355">
        <v>754.21</v>
      </c>
      <c r="AB355">
        <v>130</v>
      </c>
      <c r="AC355">
        <v>1.53</v>
      </c>
      <c r="AD355">
        <v>0.02</v>
      </c>
      <c r="AE355">
        <v>0</v>
      </c>
      <c r="AF355">
        <v>0</v>
      </c>
      <c r="AG355">
        <v>1</v>
      </c>
      <c r="AH355">
        <v>1.53</v>
      </c>
      <c r="AI355">
        <v>1.53</v>
      </c>
      <c r="AJ355">
        <v>1.53</v>
      </c>
      <c r="AK355">
        <v>0.02</v>
      </c>
      <c r="AL355">
        <v>0.02</v>
      </c>
      <c r="AM355">
        <v>0.02</v>
      </c>
      <c r="AN355">
        <v>0</v>
      </c>
      <c r="AO355">
        <v>0</v>
      </c>
      <c r="AP355">
        <v>0</v>
      </c>
      <c r="AQ355">
        <v>754.21066410000003</v>
      </c>
      <c r="AR355">
        <v>0</v>
      </c>
      <c r="AS355">
        <v>354</v>
      </c>
      <c r="AT355">
        <v>1</v>
      </c>
      <c r="AU355">
        <v>354</v>
      </c>
      <c r="AV355">
        <v>6</v>
      </c>
      <c r="AW355" t="s">
        <v>678</v>
      </c>
      <c r="AX355" t="s">
        <v>45</v>
      </c>
      <c r="AY355" t="s">
        <v>501</v>
      </c>
      <c r="AZ355">
        <v>1723</v>
      </c>
      <c r="BA355" t="s">
        <v>679</v>
      </c>
      <c r="BB355">
        <v>1033</v>
      </c>
      <c r="BC355" t="s">
        <v>680</v>
      </c>
      <c r="BD355">
        <v>2000</v>
      </c>
      <c r="BE355">
        <v>0</v>
      </c>
      <c r="BF355">
        <v>822.01816440000005</v>
      </c>
    </row>
    <row r="356" spans="1:58" x14ac:dyDescent="0.2">
      <c r="A356">
        <v>355</v>
      </c>
      <c r="B356" t="s">
        <v>404</v>
      </c>
      <c r="C356">
        <v>0</v>
      </c>
      <c r="H356" t="s">
        <v>404</v>
      </c>
      <c r="I356" t="s">
        <v>45</v>
      </c>
      <c r="Q356" t="s">
        <v>404</v>
      </c>
      <c r="R356">
        <v>25.70102266</v>
      </c>
      <c r="S356">
        <v>6</v>
      </c>
      <c r="T356">
        <v>130</v>
      </c>
      <c r="V356">
        <v>0</v>
      </c>
      <c r="W356">
        <v>0</v>
      </c>
      <c r="X356" t="s">
        <v>404</v>
      </c>
      <c r="Y356">
        <v>-1</v>
      </c>
      <c r="Z356">
        <v>6</v>
      </c>
      <c r="AA356">
        <v>25.7</v>
      </c>
      <c r="AB356">
        <v>130</v>
      </c>
      <c r="AC356">
        <v>1.53</v>
      </c>
      <c r="AD356">
        <v>0.02</v>
      </c>
      <c r="AE356">
        <v>0</v>
      </c>
      <c r="AF356">
        <v>0</v>
      </c>
      <c r="AG356">
        <v>1</v>
      </c>
      <c r="AH356">
        <v>1.53</v>
      </c>
      <c r="AI356">
        <v>1.53</v>
      </c>
      <c r="AJ356">
        <v>1.53</v>
      </c>
      <c r="AK356">
        <v>0.02</v>
      </c>
      <c r="AL356">
        <v>0.02</v>
      </c>
      <c r="AM356">
        <v>0.02</v>
      </c>
      <c r="AN356">
        <v>0</v>
      </c>
      <c r="AO356">
        <v>0</v>
      </c>
      <c r="AP356">
        <v>0</v>
      </c>
      <c r="AQ356">
        <v>25.70102266</v>
      </c>
      <c r="AR356">
        <v>0</v>
      </c>
      <c r="AS356">
        <v>355</v>
      </c>
      <c r="AT356">
        <v>1</v>
      </c>
      <c r="AU356">
        <v>355</v>
      </c>
      <c r="AV356">
        <v>6</v>
      </c>
      <c r="AW356" t="s">
        <v>678</v>
      </c>
      <c r="AX356" t="s">
        <v>45</v>
      </c>
      <c r="AY356" t="s">
        <v>501</v>
      </c>
      <c r="AZ356">
        <v>1723</v>
      </c>
      <c r="BA356" t="s">
        <v>679</v>
      </c>
      <c r="BB356">
        <v>1033</v>
      </c>
      <c r="BC356" t="s">
        <v>680</v>
      </c>
      <c r="BD356">
        <v>2000</v>
      </c>
      <c r="BE356">
        <v>0</v>
      </c>
      <c r="BF356">
        <v>822.01816440000005</v>
      </c>
    </row>
    <row r="357" spans="1:58" x14ac:dyDescent="0.2">
      <c r="A357">
        <v>356</v>
      </c>
      <c r="B357" t="s">
        <v>405</v>
      </c>
      <c r="C357">
        <v>0</v>
      </c>
      <c r="H357" t="s">
        <v>405</v>
      </c>
      <c r="Q357" t="s">
        <v>405</v>
      </c>
      <c r="R357">
        <v>9.8000000000000007</v>
      </c>
      <c r="S357">
        <v>6</v>
      </c>
      <c r="T357">
        <v>130</v>
      </c>
      <c r="U357">
        <v>0</v>
      </c>
      <c r="V357">
        <v>0</v>
      </c>
      <c r="W357">
        <v>0</v>
      </c>
      <c r="X357" t="s">
        <v>405</v>
      </c>
      <c r="Y357">
        <v>-1</v>
      </c>
      <c r="Z357">
        <v>6</v>
      </c>
      <c r="AA357">
        <v>9.8000000000000007</v>
      </c>
      <c r="AB357">
        <v>130</v>
      </c>
      <c r="AC357">
        <v>0.87</v>
      </c>
      <c r="AD357">
        <v>0.01</v>
      </c>
      <c r="AE357">
        <v>0</v>
      </c>
      <c r="AF357">
        <v>0</v>
      </c>
      <c r="AG357">
        <v>1</v>
      </c>
      <c r="AH357">
        <v>0.87</v>
      </c>
      <c r="AI357">
        <v>0.87</v>
      </c>
      <c r="AJ357">
        <v>0.87</v>
      </c>
      <c r="AK357">
        <v>0.01</v>
      </c>
      <c r="AL357">
        <v>0.01</v>
      </c>
      <c r="AM357">
        <v>0.01</v>
      </c>
      <c r="AN357">
        <v>0</v>
      </c>
      <c r="AO357">
        <v>0</v>
      </c>
      <c r="AP357">
        <v>0</v>
      </c>
      <c r="AQ357">
        <v>11.116970569999999</v>
      </c>
      <c r="AR357">
        <v>0</v>
      </c>
      <c r="AS357">
        <v>356</v>
      </c>
      <c r="AT357">
        <v>1</v>
      </c>
      <c r="AU357">
        <v>356</v>
      </c>
      <c r="AV357">
        <v>6</v>
      </c>
      <c r="AW357" t="s">
        <v>931</v>
      </c>
      <c r="AX357" t="s">
        <v>45</v>
      </c>
      <c r="AY357" t="s">
        <v>501</v>
      </c>
      <c r="AZ357">
        <v>974</v>
      </c>
      <c r="BA357" t="s">
        <v>686</v>
      </c>
      <c r="BB357">
        <v>1727</v>
      </c>
      <c r="BC357" t="s">
        <v>689</v>
      </c>
      <c r="BD357">
        <v>2000</v>
      </c>
      <c r="BE357">
        <v>0</v>
      </c>
      <c r="BF357">
        <v>621.78259639999999</v>
      </c>
    </row>
    <row r="358" spans="1:58" x14ac:dyDescent="0.2">
      <c r="A358">
        <v>357</v>
      </c>
      <c r="B358" t="s">
        <v>406</v>
      </c>
      <c r="C358">
        <v>0</v>
      </c>
      <c r="H358" t="s">
        <v>406</v>
      </c>
      <c r="I358" t="s">
        <v>45</v>
      </c>
      <c r="Q358" t="s">
        <v>406</v>
      </c>
      <c r="R358">
        <v>1047.162738</v>
      </c>
      <c r="S358">
        <v>6</v>
      </c>
      <c r="T358">
        <v>130</v>
      </c>
      <c r="V358">
        <v>0</v>
      </c>
      <c r="W358">
        <v>0</v>
      </c>
      <c r="X358" t="s">
        <v>406</v>
      </c>
      <c r="Y358">
        <v>-1</v>
      </c>
      <c r="Z358">
        <v>6</v>
      </c>
      <c r="AA358">
        <v>1047.1600000000001</v>
      </c>
      <c r="AB358">
        <v>130</v>
      </c>
      <c r="AC358">
        <v>0.87</v>
      </c>
      <c r="AD358">
        <v>0.01</v>
      </c>
      <c r="AE358">
        <v>0</v>
      </c>
      <c r="AF358">
        <v>0</v>
      </c>
      <c r="AG358">
        <v>1</v>
      </c>
      <c r="AH358">
        <v>0.87</v>
      </c>
      <c r="AI358">
        <v>0.87</v>
      </c>
      <c r="AJ358">
        <v>0.87</v>
      </c>
      <c r="AK358">
        <v>0.01</v>
      </c>
      <c r="AL358">
        <v>0.01</v>
      </c>
      <c r="AM358">
        <v>0.01</v>
      </c>
      <c r="AN358">
        <v>0</v>
      </c>
      <c r="AO358">
        <v>0</v>
      </c>
      <c r="AP358">
        <v>0</v>
      </c>
      <c r="AQ358">
        <v>1047.162738</v>
      </c>
      <c r="AR358">
        <v>0</v>
      </c>
      <c r="AS358">
        <v>357</v>
      </c>
      <c r="AT358">
        <v>1</v>
      </c>
      <c r="AU358">
        <v>357</v>
      </c>
      <c r="AV358">
        <v>6</v>
      </c>
      <c r="AW358" t="s">
        <v>685</v>
      </c>
      <c r="AX358" t="s">
        <v>45</v>
      </c>
      <c r="AY358" t="s">
        <v>501</v>
      </c>
      <c r="AZ358">
        <v>974</v>
      </c>
      <c r="BA358" t="s">
        <v>686</v>
      </c>
      <c r="BB358">
        <v>1729</v>
      </c>
      <c r="BC358" t="s">
        <v>687</v>
      </c>
      <c r="BD358">
        <v>2000</v>
      </c>
      <c r="BE358">
        <v>0</v>
      </c>
      <c r="BF358">
        <v>1095.6713669999999</v>
      </c>
    </row>
    <row r="359" spans="1:58" x14ac:dyDescent="0.2">
      <c r="A359">
        <v>358</v>
      </c>
      <c r="B359" t="s">
        <v>407</v>
      </c>
      <c r="C359">
        <v>0</v>
      </c>
      <c r="H359" t="s">
        <v>407</v>
      </c>
      <c r="I359" t="s">
        <v>45</v>
      </c>
      <c r="Q359" t="s">
        <v>407</v>
      </c>
      <c r="R359">
        <v>579.18293170000004</v>
      </c>
      <c r="S359">
        <v>6</v>
      </c>
      <c r="T359">
        <v>130</v>
      </c>
      <c r="V359">
        <v>0</v>
      </c>
      <c r="W359">
        <v>0</v>
      </c>
      <c r="X359" t="s">
        <v>407</v>
      </c>
      <c r="Y359">
        <v>-1</v>
      </c>
      <c r="Z359">
        <v>6</v>
      </c>
      <c r="AA359">
        <v>579.17999999999995</v>
      </c>
      <c r="AB359">
        <v>130</v>
      </c>
      <c r="AC359">
        <v>2.67</v>
      </c>
      <c r="AD359">
        <v>0.03</v>
      </c>
      <c r="AE359">
        <v>0</v>
      </c>
      <c r="AF359">
        <v>0</v>
      </c>
      <c r="AG359">
        <v>1</v>
      </c>
      <c r="AH359">
        <v>2.67</v>
      </c>
      <c r="AI359">
        <v>2.67</v>
      </c>
      <c r="AJ359">
        <v>2.67</v>
      </c>
      <c r="AK359">
        <v>0.03</v>
      </c>
      <c r="AL359">
        <v>0.03</v>
      </c>
      <c r="AM359">
        <v>0.03</v>
      </c>
      <c r="AN359">
        <v>0</v>
      </c>
      <c r="AO359">
        <v>0</v>
      </c>
      <c r="AP359">
        <v>0</v>
      </c>
      <c r="AQ359">
        <v>579.18293170000004</v>
      </c>
      <c r="AR359">
        <v>0</v>
      </c>
      <c r="AS359">
        <v>358</v>
      </c>
      <c r="AT359">
        <v>1</v>
      </c>
      <c r="AU359">
        <v>358</v>
      </c>
      <c r="AV359">
        <v>6</v>
      </c>
      <c r="AW359" t="s">
        <v>685</v>
      </c>
      <c r="AX359" t="s">
        <v>45</v>
      </c>
      <c r="AY359" t="s">
        <v>501</v>
      </c>
      <c r="AZ359">
        <v>974</v>
      </c>
      <c r="BA359" t="s">
        <v>686</v>
      </c>
      <c r="BB359">
        <v>1729</v>
      </c>
      <c r="BC359" t="s">
        <v>687</v>
      </c>
      <c r="BD359">
        <v>2000</v>
      </c>
      <c r="BE359">
        <v>0</v>
      </c>
      <c r="BF359">
        <v>1095.6713669999999</v>
      </c>
    </row>
    <row r="360" spans="1:58" x14ac:dyDescent="0.2">
      <c r="A360">
        <v>359</v>
      </c>
      <c r="B360" t="s">
        <v>408</v>
      </c>
      <c r="C360">
        <v>0</v>
      </c>
      <c r="H360" t="s">
        <v>408</v>
      </c>
      <c r="I360" t="s">
        <v>45</v>
      </c>
      <c r="Q360" t="s">
        <v>408</v>
      </c>
      <c r="R360">
        <v>41.573105849999997</v>
      </c>
      <c r="S360">
        <v>6</v>
      </c>
      <c r="T360">
        <v>130</v>
      </c>
      <c r="V360">
        <v>0</v>
      </c>
      <c r="W360">
        <v>0</v>
      </c>
      <c r="X360" t="s">
        <v>408</v>
      </c>
      <c r="Y360">
        <v>-1</v>
      </c>
      <c r="Z360">
        <v>6</v>
      </c>
      <c r="AA360">
        <v>41.57</v>
      </c>
      <c r="AB360">
        <v>130</v>
      </c>
      <c r="AC360">
        <v>29.5</v>
      </c>
      <c r="AD360">
        <v>0.33</v>
      </c>
      <c r="AE360">
        <v>0</v>
      </c>
      <c r="AF360">
        <v>0.11</v>
      </c>
      <c r="AG360">
        <v>1</v>
      </c>
      <c r="AH360">
        <v>29.5</v>
      </c>
      <c r="AI360">
        <v>29.5</v>
      </c>
      <c r="AJ360">
        <v>29.5</v>
      </c>
      <c r="AK360">
        <v>0.33</v>
      </c>
      <c r="AL360">
        <v>0.33</v>
      </c>
      <c r="AM360">
        <v>0.33</v>
      </c>
      <c r="AN360">
        <v>0</v>
      </c>
      <c r="AO360">
        <v>0</v>
      </c>
      <c r="AP360">
        <v>0</v>
      </c>
      <c r="AQ360">
        <v>41.573105849999997</v>
      </c>
      <c r="AR360">
        <v>0</v>
      </c>
      <c r="AS360">
        <v>359</v>
      </c>
      <c r="AT360">
        <v>1</v>
      </c>
      <c r="AU360">
        <v>359</v>
      </c>
      <c r="AV360">
        <v>6</v>
      </c>
      <c r="AW360" t="s">
        <v>961</v>
      </c>
      <c r="AX360" t="s">
        <v>45</v>
      </c>
      <c r="AY360" t="s">
        <v>501</v>
      </c>
      <c r="AZ360">
        <v>45205</v>
      </c>
      <c r="BA360" t="s">
        <v>893</v>
      </c>
      <c r="BB360">
        <v>1734</v>
      </c>
      <c r="BC360" t="s">
        <v>708</v>
      </c>
      <c r="BD360">
        <v>2000</v>
      </c>
      <c r="BE360">
        <v>1</v>
      </c>
      <c r="BF360">
        <v>256.02369640000001</v>
      </c>
    </row>
    <row r="361" spans="1:58" x14ac:dyDescent="0.2">
      <c r="A361">
        <v>360</v>
      </c>
      <c r="B361" t="s">
        <v>409</v>
      </c>
      <c r="C361">
        <v>0</v>
      </c>
      <c r="H361" t="s">
        <v>409</v>
      </c>
      <c r="I361" t="s">
        <v>45</v>
      </c>
      <c r="Q361" t="s">
        <v>409</v>
      </c>
      <c r="R361">
        <v>108.0467795</v>
      </c>
      <c r="S361">
        <v>6</v>
      </c>
      <c r="T361">
        <v>130</v>
      </c>
      <c r="V361">
        <v>0</v>
      </c>
      <c r="W361">
        <v>0</v>
      </c>
      <c r="X361" t="s">
        <v>409</v>
      </c>
      <c r="Y361">
        <v>-1</v>
      </c>
      <c r="Z361">
        <v>6</v>
      </c>
      <c r="AA361">
        <v>108.05</v>
      </c>
      <c r="AB361">
        <v>130</v>
      </c>
      <c r="AC361">
        <v>29.5</v>
      </c>
      <c r="AD361">
        <v>0.33</v>
      </c>
      <c r="AE361">
        <v>0.01</v>
      </c>
      <c r="AF361">
        <v>0.11</v>
      </c>
      <c r="AG361">
        <v>1</v>
      </c>
      <c r="AH361">
        <v>29.5</v>
      </c>
      <c r="AI361">
        <v>29.5</v>
      </c>
      <c r="AJ361">
        <v>29.5</v>
      </c>
      <c r="AK361">
        <v>0.33</v>
      </c>
      <c r="AL361">
        <v>0.33</v>
      </c>
      <c r="AM361">
        <v>0.33</v>
      </c>
      <c r="AN361">
        <v>0.01</v>
      </c>
      <c r="AO361">
        <v>0.01</v>
      </c>
      <c r="AP361">
        <v>0.01</v>
      </c>
      <c r="AQ361">
        <v>108.0467795</v>
      </c>
      <c r="AR361">
        <v>0</v>
      </c>
      <c r="AS361">
        <v>360</v>
      </c>
      <c r="AT361">
        <v>1</v>
      </c>
      <c r="AU361">
        <v>360</v>
      </c>
      <c r="AV361">
        <v>6</v>
      </c>
      <c r="AW361" t="s">
        <v>961</v>
      </c>
      <c r="AX361" t="s">
        <v>45</v>
      </c>
      <c r="AY361" t="s">
        <v>501</v>
      </c>
      <c r="AZ361">
        <v>45205</v>
      </c>
      <c r="BA361" t="s">
        <v>893</v>
      </c>
      <c r="BB361">
        <v>1734</v>
      </c>
      <c r="BC361" t="s">
        <v>708</v>
      </c>
      <c r="BD361">
        <v>2000</v>
      </c>
      <c r="BE361">
        <v>1</v>
      </c>
      <c r="BF361">
        <v>256.02369640000001</v>
      </c>
    </row>
    <row r="362" spans="1:58" x14ac:dyDescent="0.2">
      <c r="A362">
        <v>361</v>
      </c>
      <c r="B362" t="s">
        <v>410</v>
      </c>
      <c r="C362">
        <v>0</v>
      </c>
      <c r="H362" t="s">
        <v>410</v>
      </c>
      <c r="I362" t="s">
        <v>45</v>
      </c>
      <c r="Q362" t="s">
        <v>410</v>
      </c>
      <c r="R362">
        <v>261.9393925</v>
      </c>
      <c r="S362">
        <v>6</v>
      </c>
      <c r="T362">
        <v>130</v>
      </c>
      <c r="V362">
        <v>0</v>
      </c>
      <c r="W362">
        <v>0</v>
      </c>
      <c r="X362" t="s">
        <v>410</v>
      </c>
      <c r="Y362">
        <v>-1</v>
      </c>
      <c r="Z362">
        <v>6</v>
      </c>
      <c r="AA362">
        <v>261.94</v>
      </c>
      <c r="AB362">
        <v>130</v>
      </c>
      <c r="AC362">
        <v>29.5</v>
      </c>
      <c r="AD362">
        <v>0.33</v>
      </c>
      <c r="AE362">
        <v>0.03</v>
      </c>
      <c r="AF362">
        <v>0.11</v>
      </c>
      <c r="AG362">
        <v>1</v>
      </c>
      <c r="AH362">
        <v>29.5</v>
      </c>
      <c r="AI362">
        <v>29.5</v>
      </c>
      <c r="AJ362">
        <v>29.5</v>
      </c>
      <c r="AK362">
        <v>0.33</v>
      </c>
      <c r="AL362">
        <v>0.33</v>
      </c>
      <c r="AM362">
        <v>0.33</v>
      </c>
      <c r="AN362">
        <v>0.03</v>
      </c>
      <c r="AO362">
        <v>0.03</v>
      </c>
      <c r="AP362">
        <v>0.03</v>
      </c>
      <c r="AQ362">
        <v>261.9393925</v>
      </c>
      <c r="AR362">
        <v>0</v>
      </c>
      <c r="AS362">
        <v>361</v>
      </c>
      <c r="AT362">
        <v>1</v>
      </c>
      <c r="AU362">
        <v>361</v>
      </c>
      <c r="AV362">
        <v>6</v>
      </c>
      <c r="AW362" t="s">
        <v>961</v>
      </c>
      <c r="AX362" t="s">
        <v>45</v>
      </c>
      <c r="AY362" t="s">
        <v>501</v>
      </c>
      <c r="AZ362">
        <v>45205</v>
      </c>
      <c r="BA362" t="s">
        <v>893</v>
      </c>
      <c r="BB362">
        <v>1734</v>
      </c>
      <c r="BC362" t="s">
        <v>708</v>
      </c>
      <c r="BD362">
        <v>2000</v>
      </c>
      <c r="BE362">
        <v>1</v>
      </c>
      <c r="BF362">
        <v>256.02369640000001</v>
      </c>
    </row>
    <row r="363" spans="1:58" x14ac:dyDescent="0.2">
      <c r="A363">
        <v>362</v>
      </c>
      <c r="B363" t="s">
        <v>411</v>
      </c>
      <c r="C363">
        <v>0</v>
      </c>
      <c r="H363" t="s">
        <v>411</v>
      </c>
      <c r="I363" t="s">
        <v>45</v>
      </c>
      <c r="Q363" t="s">
        <v>411</v>
      </c>
      <c r="R363">
        <v>603.04106590000004</v>
      </c>
      <c r="S363">
        <v>6</v>
      </c>
      <c r="T363">
        <v>130</v>
      </c>
      <c r="V363">
        <v>0</v>
      </c>
      <c r="W363">
        <v>0</v>
      </c>
      <c r="X363" t="s">
        <v>411</v>
      </c>
      <c r="Y363">
        <v>-1</v>
      </c>
      <c r="Z363">
        <v>6</v>
      </c>
      <c r="AA363">
        <v>603.04</v>
      </c>
      <c r="AB363">
        <v>130</v>
      </c>
      <c r="AC363">
        <v>29.5</v>
      </c>
      <c r="AD363">
        <v>0.33</v>
      </c>
      <c r="AE363">
        <v>7.0000000000000007E-2</v>
      </c>
      <c r="AF363">
        <v>0.11</v>
      </c>
      <c r="AG363">
        <v>1</v>
      </c>
      <c r="AH363">
        <v>29.5</v>
      </c>
      <c r="AI363">
        <v>29.5</v>
      </c>
      <c r="AJ363">
        <v>29.5</v>
      </c>
      <c r="AK363">
        <v>0.33</v>
      </c>
      <c r="AL363">
        <v>0.33</v>
      </c>
      <c r="AM363">
        <v>0.33</v>
      </c>
      <c r="AN363">
        <v>7.0000000000000007E-2</v>
      </c>
      <c r="AO363">
        <v>7.0000000000000007E-2</v>
      </c>
      <c r="AP363">
        <v>7.0000000000000007E-2</v>
      </c>
      <c r="AQ363">
        <v>603.04106590000004</v>
      </c>
      <c r="AR363">
        <v>0</v>
      </c>
      <c r="AS363">
        <v>362</v>
      </c>
      <c r="AT363">
        <v>1</v>
      </c>
      <c r="AU363">
        <v>362</v>
      </c>
      <c r="AV363">
        <v>6</v>
      </c>
      <c r="AW363" t="s">
        <v>707</v>
      </c>
      <c r="AX363" t="s">
        <v>45</v>
      </c>
      <c r="AY363" t="s">
        <v>501</v>
      </c>
      <c r="AZ363">
        <v>1734</v>
      </c>
      <c r="BA363" t="s">
        <v>708</v>
      </c>
      <c r="BB363">
        <v>1065</v>
      </c>
      <c r="BC363" t="s">
        <v>709</v>
      </c>
      <c r="BD363">
        <v>2000</v>
      </c>
      <c r="BE363">
        <v>1</v>
      </c>
      <c r="BF363">
        <v>736.17760799999996</v>
      </c>
    </row>
    <row r="364" spans="1:58" x14ac:dyDescent="0.2">
      <c r="A364">
        <v>363</v>
      </c>
      <c r="B364" t="s">
        <v>412</v>
      </c>
      <c r="C364">
        <v>0</v>
      </c>
      <c r="H364" t="s">
        <v>412</v>
      </c>
      <c r="I364" t="s">
        <v>45</v>
      </c>
      <c r="Q364" t="s">
        <v>412</v>
      </c>
      <c r="R364">
        <v>2548.4465599999999</v>
      </c>
      <c r="S364">
        <v>6</v>
      </c>
      <c r="T364">
        <v>130</v>
      </c>
      <c r="V364">
        <v>0</v>
      </c>
      <c r="W364">
        <v>0</v>
      </c>
      <c r="X364" t="s">
        <v>412</v>
      </c>
      <c r="Y364">
        <v>-1</v>
      </c>
      <c r="Z364">
        <v>6</v>
      </c>
      <c r="AA364">
        <v>2548.4499999999998</v>
      </c>
      <c r="AB364">
        <v>130</v>
      </c>
      <c r="AC364">
        <v>3.69</v>
      </c>
      <c r="AD364">
        <v>0.04</v>
      </c>
      <c r="AE364">
        <v>0.01</v>
      </c>
      <c r="AF364">
        <v>0</v>
      </c>
      <c r="AG364">
        <v>1</v>
      </c>
      <c r="AH364">
        <v>3.69</v>
      </c>
      <c r="AI364">
        <v>3.69</v>
      </c>
      <c r="AJ364">
        <v>3.69</v>
      </c>
      <c r="AK364">
        <v>0.04</v>
      </c>
      <c r="AL364">
        <v>0.04</v>
      </c>
      <c r="AM364">
        <v>0.04</v>
      </c>
      <c r="AN364">
        <v>0.01</v>
      </c>
      <c r="AO364">
        <v>0.01</v>
      </c>
      <c r="AP364">
        <v>0.01</v>
      </c>
      <c r="AQ364">
        <v>2548.4465599999999</v>
      </c>
      <c r="AR364">
        <v>0</v>
      </c>
      <c r="AS364">
        <v>363</v>
      </c>
      <c r="AT364">
        <v>1</v>
      </c>
      <c r="AU364">
        <v>363</v>
      </c>
      <c r="AV364">
        <v>6</v>
      </c>
      <c r="AW364" t="s">
        <v>962</v>
      </c>
      <c r="AX364" t="s">
        <v>45</v>
      </c>
      <c r="AY364" t="s">
        <v>501</v>
      </c>
      <c r="AZ364">
        <v>1044</v>
      </c>
      <c r="BA364" t="s">
        <v>948</v>
      </c>
      <c r="BB364">
        <v>1045</v>
      </c>
      <c r="BC364" t="s">
        <v>963</v>
      </c>
      <c r="BD364">
        <v>1980</v>
      </c>
      <c r="BE364">
        <v>0</v>
      </c>
      <c r="BF364">
        <v>2306.2342859999999</v>
      </c>
    </row>
    <row r="365" spans="1:58" x14ac:dyDescent="0.2">
      <c r="A365">
        <v>364</v>
      </c>
      <c r="B365" t="s">
        <v>413</v>
      </c>
      <c r="C365">
        <v>0</v>
      </c>
      <c r="H365" t="s">
        <v>413</v>
      </c>
      <c r="I365" t="s">
        <v>45</v>
      </c>
      <c r="Q365" t="s">
        <v>413</v>
      </c>
      <c r="R365">
        <v>4148.8420809999998</v>
      </c>
      <c r="S365">
        <v>6</v>
      </c>
      <c r="T365">
        <v>130</v>
      </c>
      <c r="V365">
        <v>0</v>
      </c>
      <c r="W365">
        <v>0</v>
      </c>
      <c r="X365" t="s">
        <v>413</v>
      </c>
      <c r="Y365">
        <v>-1</v>
      </c>
      <c r="Z365">
        <v>6</v>
      </c>
      <c r="AA365">
        <v>4148.84</v>
      </c>
      <c r="AB365">
        <v>130</v>
      </c>
      <c r="AC365">
        <v>15.47</v>
      </c>
      <c r="AD365">
        <v>0.18</v>
      </c>
      <c r="AE365">
        <v>0.14000000000000001</v>
      </c>
      <c r="AF365">
        <v>0.03</v>
      </c>
      <c r="AG365">
        <v>1</v>
      </c>
      <c r="AH365">
        <v>15.47</v>
      </c>
      <c r="AI365">
        <v>15.47</v>
      </c>
      <c r="AJ365">
        <v>15.47</v>
      </c>
      <c r="AK365">
        <v>0.18</v>
      </c>
      <c r="AL365">
        <v>0.18</v>
      </c>
      <c r="AM365">
        <v>0.18</v>
      </c>
      <c r="AN365">
        <v>0.14000000000000001</v>
      </c>
      <c r="AO365">
        <v>0.14000000000000001</v>
      </c>
      <c r="AP365">
        <v>0.14000000000000001</v>
      </c>
      <c r="AQ365">
        <v>4148.8420809999998</v>
      </c>
      <c r="AR365">
        <v>0</v>
      </c>
      <c r="AS365">
        <v>364</v>
      </c>
      <c r="AT365">
        <v>1</v>
      </c>
      <c r="AU365">
        <v>364</v>
      </c>
      <c r="AV365">
        <v>6</v>
      </c>
      <c r="AW365" t="s">
        <v>964</v>
      </c>
      <c r="AX365" t="s">
        <v>45</v>
      </c>
      <c r="AY365" t="s">
        <v>501</v>
      </c>
      <c r="AZ365">
        <v>1045</v>
      </c>
      <c r="BA365" t="s">
        <v>963</v>
      </c>
      <c r="BB365">
        <v>896</v>
      </c>
      <c r="BC365" t="s">
        <v>965</v>
      </c>
      <c r="BD365">
        <v>1980</v>
      </c>
      <c r="BE365">
        <v>1</v>
      </c>
      <c r="BF365">
        <v>4148.8425470000002</v>
      </c>
    </row>
    <row r="366" spans="1:58" x14ac:dyDescent="0.2">
      <c r="A366">
        <v>365</v>
      </c>
      <c r="B366" t="s">
        <v>414</v>
      </c>
      <c r="C366">
        <v>0</v>
      </c>
      <c r="H366" t="s">
        <v>414</v>
      </c>
      <c r="I366" t="s">
        <v>45</v>
      </c>
      <c r="Q366" t="s">
        <v>414</v>
      </c>
      <c r="R366">
        <v>403.30396100000002</v>
      </c>
      <c r="S366">
        <v>6</v>
      </c>
      <c r="T366">
        <v>130</v>
      </c>
      <c r="V366">
        <v>0</v>
      </c>
      <c r="W366">
        <v>0</v>
      </c>
      <c r="X366" t="s">
        <v>414</v>
      </c>
      <c r="Y366">
        <v>-1</v>
      </c>
      <c r="Z366">
        <v>6</v>
      </c>
      <c r="AA366">
        <v>403.3</v>
      </c>
      <c r="AB366">
        <v>130</v>
      </c>
      <c r="AC366">
        <v>15.47</v>
      </c>
      <c r="AD366">
        <v>0.18</v>
      </c>
      <c r="AE366">
        <v>0.01</v>
      </c>
      <c r="AF366">
        <v>0.03</v>
      </c>
      <c r="AG366">
        <v>1</v>
      </c>
      <c r="AH366">
        <v>15.47</v>
      </c>
      <c r="AI366">
        <v>15.47</v>
      </c>
      <c r="AJ366">
        <v>15.47</v>
      </c>
      <c r="AK366">
        <v>0.18</v>
      </c>
      <c r="AL366">
        <v>0.18</v>
      </c>
      <c r="AM366">
        <v>0.18</v>
      </c>
      <c r="AN366">
        <v>0.01</v>
      </c>
      <c r="AO366">
        <v>0.01</v>
      </c>
      <c r="AP366">
        <v>0.01</v>
      </c>
      <c r="AQ366">
        <v>403.30396100000002</v>
      </c>
      <c r="AR366">
        <v>0</v>
      </c>
      <c r="AS366">
        <v>365</v>
      </c>
      <c r="AT366">
        <v>1</v>
      </c>
      <c r="AU366">
        <v>365</v>
      </c>
      <c r="AV366">
        <v>6</v>
      </c>
      <c r="AW366" t="s">
        <v>964</v>
      </c>
      <c r="AX366" t="s">
        <v>45</v>
      </c>
      <c r="AY366" t="s">
        <v>501</v>
      </c>
      <c r="AZ366">
        <v>1045</v>
      </c>
      <c r="BA366" t="s">
        <v>963</v>
      </c>
      <c r="BB366">
        <v>896</v>
      </c>
      <c r="BC366" t="s">
        <v>965</v>
      </c>
      <c r="BD366">
        <v>1980</v>
      </c>
      <c r="BE366">
        <v>1</v>
      </c>
      <c r="BF366">
        <v>4148.8425470000002</v>
      </c>
    </row>
    <row r="367" spans="1:58" x14ac:dyDescent="0.2">
      <c r="A367">
        <v>366</v>
      </c>
      <c r="B367" t="s">
        <v>415</v>
      </c>
      <c r="C367">
        <v>0</v>
      </c>
      <c r="H367" t="s">
        <v>415</v>
      </c>
      <c r="I367" t="s">
        <v>45</v>
      </c>
      <c r="Q367" t="s">
        <v>415</v>
      </c>
      <c r="R367">
        <v>2366.1774409999998</v>
      </c>
      <c r="S367">
        <v>6</v>
      </c>
      <c r="T367">
        <v>130</v>
      </c>
      <c r="V367">
        <v>0</v>
      </c>
      <c r="W367">
        <v>0</v>
      </c>
      <c r="X367" t="s">
        <v>415</v>
      </c>
      <c r="Y367">
        <v>1</v>
      </c>
      <c r="Z367">
        <v>6</v>
      </c>
      <c r="AA367">
        <v>2366.1799999999998</v>
      </c>
      <c r="AB367">
        <v>130</v>
      </c>
      <c r="AC367">
        <v>21.2</v>
      </c>
      <c r="AD367">
        <v>0.24</v>
      </c>
      <c r="AE367">
        <v>0.14000000000000001</v>
      </c>
      <c r="AF367">
        <v>0.06</v>
      </c>
      <c r="AG367">
        <v>1</v>
      </c>
      <c r="AH367">
        <v>21.2</v>
      </c>
      <c r="AI367">
        <v>21.2</v>
      </c>
      <c r="AJ367">
        <v>21.2</v>
      </c>
      <c r="AK367">
        <v>0.24</v>
      </c>
      <c r="AL367">
        <v>0.24</v>
      </c>
      <c r="AM367">
        <v>0.24</v>
      </c>
      <c r="AN367">
        <v>0.14000000000000001</v>
      </c>
      <c r="AO367">
        <v>0.14000000000000001</v>
      </c>
      <c r="AP367">
        <v>0.14000000000000001</v>
      </c>
      <c r="AQ367">
        <v>2366.1774409999998</v>
      </c>
      <c r="AR367">
        <v>1</v>
      </c>
      <c r="AS367">
        <v>366</v>
      </c>
      <c r="AT367">
        <v>1</v>
      </c>
      <c r="AU367">
        <v>366</v>
      </c>
      <c r="AV367">
        <v>6</v>
      </c>
      <c r="AW367" t="s">
        <v>966</v>
      </c>
      <c r="AX367" t="s">
        <v>45</v>
      </c>
      <c r="AY367" t="s">
        <v>501</v>
      </c>
      <c r="AZ367">
        <v>896</v>
      </c>
      <c r="BA367" t="s">
        <v>965</v>
      </c>
      <c r="BB367">
        <v>938</v>
      </c>
      <c r="BC367" t="s">
        <v>756</v>
      </c>
      <c r="BD367">
        <v>1980</v>
      </c>
      <c r="BE367">
        <v>1</v>
      </c>
      <c r="BF367">
        <v>403.303969</v>
      </c>
    </row>
    <row r="368" spans="1:58" x14ac:dyDescent="0.2">
      <c r="A368">
        <v>367</v>
      </c>
      <c r="B368" t="s">
        <v>416</v>
      </c>
      <c r="C368">
        <v>0</v>
      </c>
      <c r="H368" t="s">
        <v>416</v>
      </c>
      <c r="I368" t="s">
        <v>45</v>
      </c>
      <c r="Q368" t="s">
        <v>416</v>
      </c>
      <c r="R368">
        <v>554.19152880000001</v>
      </c>
      <c r="S368">
        <v>6</v>
      </c>
      <c r="T368">
        <v>130</v>
      </c>
      <c r="V368">
        <v>0</v>
      </c>
      <c r="W368">
        <v>0</v>
      </c>
      <c r="X368" t="s">
        <v>416</v>
      </c>
      <c r="Y368">
        <v>1</v>
      </c>
      <c r="Z368">
        <v>6</v>
      </c>
      <c r="AA368">
        <v>554.19000000000005</v>
      </c>
      <c r="AB368">
        <v>130</v>
      </c>
      <c r="AC368">
        <v>21.2</v>
      </c>
      <c r="AD368">
        <v>0.24</v>
      </c>
      <c r="AE368">
        <v>0.03</v>
      </c>
      <c r="AF368">
        <v>0.06</v>
      </c>
      <c r="AG368">
        <v>1</v>
      </c>
      <c r="AH368">
        <v>21.2</v>
      </c>
      <c r="AI368">
        <v>21.2</v>
      </c>
      <c r="AJ368">
        <v>21.2</v>
      </c>
      <c r="AK368">
        <v>0.24</v>
      </c>
      <c r="AL368">
        <v>0.24</v>
      </c>
      <c r="AM368">
        <v>0.24</v>
      </c>
      <c r="AN368">
        <v>0.03</v>
      </c>
      <c r="AO368">
        <v>0.03</v>
      </c>
      <c r="AP368">
        <v>0.03</v>
      </c>
      <c r="AQ368">
        <v>554.19152880000001</v>
      </c>
      <c r="AR368">
        <v>1</v>
      </c>
      <c r="AS368">
        <v>367</v>
      </c>
      <c r="AT368">
        <v>1</v>
      </c>
      <c r="AU368">
        <v>367</v>
      </c>
      <c r="AV368">
        <v>6</v>
      </c>
      <c r="AW368" t="s">
        <v>967</v>
      </c>
      <c r="AX368" t="s">
        <v>45</v>
      </c>
      <c r="AY368" t="s">
        <v>501</v>
      </c>
      <c r="AZ368">
        <v>1599</v>
      </c>
      <c r="BA368" t="s">
        <v>968</v>
      </c>
      <c r="BB368">
        <v>1752</v>
      </c>
      <c r="BC368" t="s">
        <v>757</v>
      </c>
      <c r="BD368">
        <v>1980</v>
      </c>
      <c r="BE368">
        <v>0</v>
      </c>
      <c r="BF368">
        <v>34.850525150000003</v>
      </c>
    </row>
    <row r="369" spans="1:58" x14ac:dyDescent="0.2">
      <c r="A369">
        <v>368</v>
      </c>
      <c r="B369" t="s">
        <v>417</v>
      </c>
      <c r="C369">
        <v>0</v>
      </c>
      <c r="H369" t="s">
        <v>417</v>
      </c>
      <c r="I369" t="s">
        <v>45</v>
      </c>
      <c r="Q369" t="s">
        <v>417</v>
      </c>
      <c r="R369">
        <v>378.22383919999999</v>
      </c>
      <c r="S369">
        <v>6</v>
      </c>
      <c r="T369">
        <v>130</v>
      </c>
      <c r="V369">
        <v>0</v>
      </c>
      <c r="W369">
        <v>0</v>
      </c>
      <c r="X369" t="s">
        <v>417</v>
      </c>
      <c r="Y369">
        <v>0</v>
      </c>
      <c r="Z369">
        <v>6</v>
      </c>
      <c r="AA369">
        <v>378.22</v>
      </c>
      <c r="AB369">
        <v>130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378.22383919999999</v>
      </c>
      <c r="AR369">
        <v>0</v>
      </c>
      <c r="AS369">
        <v>368</v>
      </c>
      <c r="AT369">
        <v>1</v>
      </c>
      <c r="AU369">
        <v>368</v>
      </c>
      <c r="AV369">
        <v>6</v>
      </c>
      <c r="AW369" t="s">
        <v>964</v>
      </c>
      <c r="AX369" t="s">
        <v>45</v>
      </c>
      <c r="AY369" t="s">
        <v>501</v>
      </c>
      <c r="AZ369">
        <v>1045</v>
      </c>
      <c r="BA369" t="s">
        <v>963</v>
      </c>
      <c r="BB369">
        <v>896</v>
      </c>
      <c r="BC369" t="s">
        <v>965</v>
      </c>
      <c r="BD369">
        <v>1980</v>
      </c>
      <c r="BE369">
        <v>1</v>
      </c>
      <c r="BF369">
        <v>4148.8425470000002</v>
      </c>
    </row>
    <row r="370" spans="1:58" x14ac:dyDescent="0.2">
      <c r="A370">
        <v>369</v>
      </c>
      <c r="B370" t="s">
        <v>418</v>
      </c>
      <c r="C370">
        <v>0</v>
      </c>
      <c r="H370" t="s">
        <v>418</v>
      </c>
      <c r="I370" t="s">
        <v>45</v>
      </c>
      <c r="Q370" t="s">
        <v>418</v>
      </c>
      <c r="R370">
        <v>1513.8028179999999</v>
      </c>
      <c r="S370">
        <v>6</v>
      </c>
      <c r="T370">
        <v>130</v>
      </c>
      <c r="V370">
        <v>0</v>
      </c>
      <c r="W370">
        <v>0</v>
      </c>
      <c r="X370" t="s">
        <v>418</v>
      </c>
      <c r="Y370">
        <v>-1</v>
      </c>
      <c r="Z370">
        <v>6</v>
      </c>
      <c r="AA370">
        <v>1513.8</v>
      </c>
      <c r="AB370">
        <v>130</v>
      </c>
      <c r="AC370">
        <v>36.67</v>
      </c>
      <c r="AD370">
        <v>0.42</v>
      </c>
      <c r="AE370">
        <v>0.25</v>
      </c>
      <c r="AF370">
        <v>0.16</v>
      </c>
      <c r="AG370">
        <v>1</v>
      </c>
      <c r="AH370">
        <v>36.67</v>
      </c>
      <c r="AI370">
        <v>36.67</v>
      </c>
      <c r="AJ370">
        <v>36.67</v>
      </c>
      <c r="AK370">
        <v>0.42</v>
      </c>
      <c r="AL370">
        <v>0.42</v>
      </c>
      <c r="AM370">
        <v>0.42</v>
      </c>
      <c r="AN370">
        <v>0.25</v>
      </c>
      <c r="AO370">
        <v>0.25</v>
      </c>
      <c r="AP370">
        <v>0.25</v>
      </c>
      <c r="AQ370">
        <v>1513.8028179999999</v>
      </c>
      <c r="AR370">
        <v>0</v>
      </c>
      <c r="AS370">
        <v>369</v>
      </c>
      <c r="AT370">
        <v>1</v>
      </c>
      <c r="AU370">
        <v>369</v>
      </c>
      <c r="AV370">
        <v>6</v>
      </c>
      <c r="AW370" t="s">
        <v>966</v>
      </c>
      <c r="AX370" t="s">
        <v>45</v>
      </c>
      <c r="AY370" t="s">
        <v>501</v>
      </c>
      <c r="AZ370">
        <v>896</v>
      </c>
      <c r="BA370" t="s">
        <v>965</v>
      </c>
      <c r="BB370">
        <v>938</v>
      </c>
      <c r="BC370" t="s">
        <v>756</v>
      </c>
      <c r="BD370">
        <v>1980</v>
      </c>
      <c r="BE370">
        <v>1</v>
      </c>
      <c r="BF370">
        <v>403.303969</v>
      </c>
    </row>
    <row r="371" spans="1:58" x14ac:dyDescent="0.2">
      <c r="A371">
        <v>370</v>
      </c>
      <c r="B371" t="s">
        <v>419</v>
      </c>
      <c r="C371">
        <v>0</v>
      </c>
      <c r="H371" t="s">
        <v>419</v>
      </c>
      <c r="I371" t="s">
        <v>45</v>
      </c>
      <c r="Q371" t="s">
        <v>419</v>
      </c>
      <c r="R371">
        <v>846.72602229999995</v>
      </c>
      <c r="S371">
        <v>6</v>
      </c>
      <c r="T371">
        <v>130</v>
      </c>
      <c r="V371">
        <v>0</v>
      </c>
      <c r="W371">
        <v>0</v>
      </c>
      <c r="X371" t="s">
        <v>419</v>
      </c>
      <c r="Y371">
        <v>0</v>
      </c>
      <c r="Z371">
        <v>6</v>
      </c>
      <c r="AA371">
        <v>846.73</v>
      </c>
      <c r="AB371">
        <v>130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846.72602229999995</v>
      </c>
      <c r="AR371">
        <v>0</v>
      </c>
      <c r="AS371">
        <v>370</v>
      </c>
      <c r="AT371">
        <v>1</v>
      </c>
      <c r="AU371">
        <v>370</v>
      </c>
      <c r="AV371">
        <v>6</v>
      </c>
      <c r="AW371" t="s">
        <v>966</v>
      </c>
      <c r="AX371" t="s">
        <v>45</v>
      </c>
      <c r="AY371" t="s">
        <v>501</v>
      </c>
      <c r="AZ371">
        <v>896</v>
      </c>
      <c r="BA371" t="s">
        <v>965</v>
      </c>
      <c r="BB371">
        <v>938</v>
      </c>
      <c r="BC371" t="s">
        <v>756</v>
      </c>
      <c r="BD371">
        <v>1980</v>
      </c>
      <c r="BE371">
        <v>1</v>
      </c>
      <c r="BF371">
        <v>403.303969</v>
      </c>
    </row>
    <row r="372" spans="1:58" x14ac:dyDescent="0.2">
      <c r="A372">
        <v>371</v>
      </c>
      <c r="B372" t="s">
        <v>420</v>
      </c>
      <c r="C372">
        <v>0</v>
      </c>
      <c r="H372" t="s">
        <v>420</v>
      </c>
      <c r="I372" t="s">
        <v>45</v>
      </c>
      <c r="Q372" t="s">
        <v>420</v>
      </c>
      <c r="R372">
        <v>547.92302519999998</v>
      </c>
      <c r="S372">
        <v>6</v>
      </c>
      <c r="T372">
        <v>130</v>
      </c>
      <c r="V372">
        <v>0</v>
      </c>
      <c r="W372">
        <v>0</v>
      </c>
      <c r="X372" t="s">
        <v>420</v>
      </c>
      <c r="Y372">
        <v>0</v>
      </c>
      <c r="Z372">
        <v>6</v>
      </c>
      <c r="AA372">
        <v>547.91999999999996</v>
      </c>
      <c r="AB372">
        <v>130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547.92302519999998</v>
      </c>
      <c r="AR372">
        <v>0</v>
      </c>
      <c r="AS372">
        <v>371</v>
      </c>
      <c r="AT372">
        <v>1</v>
      </c>
      <c r="AU372">
        <v>371</v>
      </c>
      <c r="AV372">
        <v>6</v>
      </c>
      <c r="AW372" t="s">
        <v>966</v>
      </c>
      <c r="AX372" t="s">
        <v>45</v>
      </c>
      <c r="AY372" t="s">
        <v>501</v>
      </c>
      <c r="AZ372">
        <v>896</v>
      </c>
      <c r="BA372" t="s">
        <v>965</v>
      </c>
      <c r="BB372">
        <v>938</v>
      </c>
      <c r="BC372" t="s">
        <v>756</v>
      </c>
      <c r="BD372">
        <v>1980</v>
      </c>
      <c r="BE372">
        <v>1</v>
      </c>
      <c r="BF372">
        <v>403.303969</v>
      </c>
    </row>
    <row r="373" spans="1:58" x14ac:dyDescent="0.2">
      <c r="A373">
        <v>372</v>
      </c>
      <c r="B373" t="s">
        <v>421</v>
      </c>
      <c r="C373">
        <v>0</v>
      </c>
      <c r="H373" t="s">
        <v>421</v>
      </c>
      <c r="I373" t="s">
        <v>45</v>
      </c>
      <c r="Q373" t="s">
        <v>421</v>
      </c>
      <c r="R373">
        <v>178.69563529999999</v>
      </c>
      <c r="S373">
        <v>6</v>
      </c>
      <c r="T373">
        <v>130</v>
      </c>
      <c r="V373">
        <v>0</v>
      </c>
      <c r="W373">
        <v>0</v>
      </c>
      <c r="X373" t="s">
        <v>421</v>
      </c>
      <c r="Y373">
        <v>-1</v>
      </c>
      <c r="Z373">
        <v>6</v>
      </c>
      <c r="AA373">
        <v>178.7</v>
      </c>
      <c r="AB373">
        <v>130</v>
      </c>
      <c r="AC373">
        <v>25.81</v>
      </c>
      <c r="AD373">
        <v>0.28999999999999998</v>
      </c>
      <c r="AE373">
        <v>0.02</v>
      </c>
      <c r="AF373">
        <v>0.09</v>
      </c>
      <c r="AG373">
        <v>1</v>
      </c>
      <c r="AH373">
        <v>25.81</v>
      </c>
      <c r="AI373">
        <v>25.81</v>
      </c>
      <c r="AJ373">
        <v>25.81</v>
      </c>
      <c r="AK373">
        <v>0.28999999999999998</v>
      </c>
      <c r="AL373">
        <v>0.28999999999999998</v>
      </c>
      <c r="AM373">
        <v>0.28999999999999998</v>
      </c>
      <c r="AN373">
        <v>0.02</v>
      </c>
      <c r="AO373">
        <v>0.02</v>
      </c>
      <c r="AP373">
        <v>0.02</v>
      </c>
      <c r="AQ373">
        <v>178.69563529999999</v>
      </c>
      <c r="AR373">
        <v>0</v>
      </c>
      <c r="AS373">
        <v>372</v>
      </c>
      <c r="AT373">
        <v>1</v>
      </c>
      <c r="AU373">
        <v>372</v>
      </c>
      <c r="AV373">
        <v>6</v>
      </c>
      <c r="AW373" t="s">
        <v>969</v>
      </c>
      <c r="AX373" t="s">
        <v>45</v>
      </c>
      <c r="AY373" t="s">
        <v>501</v>
      </c>
      <c r="AZ373">
        <v>1581</v>
      </c>
      <c r="BA373" t="s">
        <v>970</v>
      </c>
      <c r="BB373">
        <v>1735</v>
      </c>
      <c r="BC373" t="s">
        <v>711</v>
      </c>
      <c r="BD373">
        <v>1980</v>
      </c>
      <c r="BE373">
        <v>0</v>
      </c>
      <c r="BF373">
        <v>83.900365199999996</v>
      </c>
    </row>
    <row r="374" spans="1:58" x14ac:dyDescent="0.2">
      <c r="A374">
        <v>373</v>
      </c>
      <c r="B374" t="s">
        <v>422</v>
      </c>
      <c r="C374">
        <v>0</v>
      </c>
      <c r="H374" t="s">
        <v>422</v>
      </c>
      <c r="I374" t="s">
        <v>45</v>
      </c>
      <c r="Q374" t="s">
        <v>422</v>
      </c>
      <c r="R374">
        <v>5347.6092939999999</v>
      </c>
      <c r="S374">
        <v>6</v>
      </c>
      <c r="T374">
        <v>130</v>
      </c>
      <c r="V374">
        <v>0</v>
      </c>
      <c r="W374">
        <v>0</v>
      </c>
      <c r="X374" t="s">
        <v>422</v>
      </c>
      <c r="Y374">
        <v>-1</v>
      </c>
      <c r="Z374">
        <v>6</v>
      </c>
      <c r="AA374">
        <v>5347.61</v>
      </c>
      <c r="AB374">
        <v>130</v>
      </c>
      <c r="AC374">
        <v>26.37</v>
      </c>
      <c r="AD374">
        <v>0.3</v>
      </c>
      <c r="AE374">
        <v>0.47</v>
      </c>
      <c r="AF374">
        <v>0.09</v>
      </c>
      <c r="AG374">
        <v>1</v>
      </c>
      <c r="AH374">
        <v>26.37</v>
      </c>
      <c r="AI374">
        <v>26.37</v>
      </c>
      <c r="AJ374">
        <v>26.37</v>
      </c>
      <c r="AK374">
        <v>0.3</v>
      </c>
      <c r="AL374">
        <v>0.3</v>
      </c>
      <c r="AM374">
        <v>0.3</v>
      </c>
      <c r="AN374">
        <v>0.47</v>
      </c>
      <c r="AO374">
        <v>0.47</v>
      </c>
      <c r="AP374">
        <v>0.47</v>
      </c>
      <c r="AQ374">
        <v>5347.6092939999999</v>
      </c>
      <c r="AR374">
        <v>0</v>
      </c>
      <c r="AS374">
        <v>373</v>
      </c>
      <c r="AT374">
        <v>1</v>
      </c>
      <c r="AU374">
        <v>373</v>
      </c>
      <c r="AV374">
        <v>6</v>
      </c>
      <c r="AW374" t="s">
        <v>710</v>
      </c>
      <c r="AX374" t="s">
        <v>45</v>
      </c>
      <c r="AY374" t="s">
        <v>501</v>
      </c>
      <c r="AZ374">
        <v>1735</v>
      </c>
      <c r="BA374" t="s">
        <v>711</v>
      </c>
      <c r="BB374">
        <v>1066</v>
      </c>
      <c r="BC374" t="s">
        <v>712</v>
      </c>
      <c r="BD374">
        <v>2000</v>
      </c>
      <c r="BE374">
        <v>1</v>
      </c>
      <c r="BF374">
        <v>5442.121384</v>
      </c>
    </row>
    <row r="375" spans="1:58" x14ac:dyDescent="0.2">
      <c r="A375">
        <v>374</v>
      </c>
      <c r="B375" t="s">
        <v>423</v>
      </c>
      <c r="C375">
        <v>0</v>
      </c>
      <c r="H375" t="s">
        <v>423</v>
      </c>
      <c r="I375" t="s">
        <v>146</v>
      </c>
      <c r="Q375" t="s">
        <v>423</v>
      </c>
      <c r="R375">
        <v>439.05360209999998</v>
      </c>
      <c r="S375">
        <v>2</v>
      </c>
      <c r="T375">
        <v>130</v>
      </c>
      <c r="V375">
        <v>0</v>
      </c>
      <c r="W375">
        <v>0</v>
      </c>
      <c r="X375" t="s">
        <v>423</v>
      </c>
      <c r="Y375">
        <v>0</v>
      </c>
      <c r="Z375">
        <v>2</v>
      </c>
      <c r="AA375">
        <v>439.05</v>
      </c>
      <c r="AB375">
        <v>130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439.05360209999998</v>
      </c>
      <c r="AR375">
        <v>0</v>
      </c>
      <c r="AS375">
        <v>374</v>
      </c>
      <c r="AT375">
        <v>1</v>
      </c>
      <c r="AU375">
        <v>374</v>
      </c>
      <c r="AV375">
        <v>2</v>
      </c>
      <c r="AW375" t="s">
        <v>971</v>
      </c>
      <c r="AX375" t="s">
        <v>146</v>
      </c>
      <c r="AY375" t="s">
        <v>501</v>
      </c>
      <c r="AZ375">
        <v>878</v>
      </c>
      <c r="BA375" t="s">
        <v>841</v>
      </c>
      <c r="BB375">
        <v>918</v>
      </c>
      <c r="BC375" t="s">
        <v>972</v>
      </c>
      <c r="BD375">
        <v>2000</v>
      </c>
      <c r="BE375">
        <v>0</v>
      </c>
      <c r="BF375">
        <v>425.86980419999998</v>
      </c>
    </row>
    <row r="376" spans="1:58" x14ac:dyDescent="0.2">
      <c r="A376">
        <v>375</v>
      </c>
      <c r="B376" t="s">
        <v>424</v>
      </c>
      <c r="C376">
        <v>0</v>
      </c>
      <c r="H376" t="s">
        <v>424</v>
      </c>
      <c r="I376" t="s">
        <v>45</v>
      </c>
      <c r="Q376" t="s">
        <v>424</v>
      </c>
      <c r="R376">
        <v>823.85138759999995</v>
      </c>
      <c r="S376">
        <v>6</v>
      </c>
      <c r="T376">
        <v>130</v>
      </c>
      <c r="V376">
        <v>0</v>
      </c>
      <c r="W376">
        <v>0</v>
      </c>
      <c r="X376" t="s">
        <v>424</v>
      </c>
      <c r="Y376">
        <v>0</v>
      </c>
      <c r="Z376">
        <v>6</v>
      </c>
      <c r="AA376">
        <v>823.85</v>
      </c>
      <c r="AB376">
        <v>130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823.85138759999995</v>
      </c>
      <c r="AR376">
        <v>0</v>
      </c>
      <c r="AS376">
        <v>375</v>
      </c>
      <c r="AT376">
        <v>1</v>
      </c>
      <c r="AU376">
        <v>375</v>
      </c>
      <c r="AV376">
        <v>6</v>
      </c>
      <c r="AW376" t="s">
        <v>931</v>
      </c>
      <c r="AX376" t="s">
        <v>45</v>
      </c>
      <c r="AY376" t="s">
        <v>501</v>
      </c>
      <c r="AZ376">
        <v>974</v>
      </c>
      <c r="BA376" t="s">
        <v>686</v>
      </c>
      <c r="BB376">
        <v>1727</v>
      </c>
      <c r="BC376" t="s">
        <v>689</v>
      </c>
      <c r="BD376">
        <v>2000</v>
      </c>
      <c r="BE376">
        <v>0</v>
      </c>
      <c r="BF376">
        <v>621.78259639999999</v>
      </c>
    </row>
    <row r="377" spans="1:58" x14ac:dyDescent="0.2">
      <c r="A377">
        <v>376</v>
      </c>
      <c r="B377" t="s">
        <v>425</v>
      </c>
      <c r="C377">
        <v>0</v>
      </c>
      <c r="H377" t="s">
        <v>425</v>
      </c>
      <c r="I377" t="s">
        <v>45</v>
      </c>
      <c r="Q377" t="s">
        <v>425</v>
      </c>
      <c r="R377">
        <v>197.0727972</v>
      </c>
      <c r="S377">
        <v>6</v>
      </c>
      <c r="T377">
        <v>130</v>
      </c>
      <c r="V377">
        <v>0</v>
      </c>
      <c r="W377">
        <v>0</v>
      </c>
      <c r="X377" t="s">
        <v>425</v>
      </c>
      <c r="Y377">
        <v>-1</v>
      </c>
      <c r="Z377">
        <v>6</v>
      </c>
      <c r="AA377">
        <v>197.07</v>
      </c>
      <c r="AB377">
        <v>130</v>
      </c>
      <c r="AC377">
        <v>7.45</v>
      </c>
      <c r="AD377">
        <v>0.08</v>
      </c>
      <c r="AE377">
        <v>0</v>
      </c>
      <c r="AF377">
        <v>0.01</v>
      </c>
      <c r="AG377">
        <v>1</v>
      </c>
      <c r="AH377">
        <v>7.45</v>
      </c>
      <c r="AI377">
        <v>7.45</v>
      </c>
      <c r="AJ377">
        <v>7.45</v>
      </c>
      <c r="AK377">
        <v>0.08</v>
      </c>
      <c r="AL377">
        <v>0.08</v>
      </c>
      <c r="AM377">
        <v>0.08</v>
      </c>
      <c r="AN377">
        <v>0</v>
      </c>
      <c r="AO377">
        <v>0</v>
      </c>
      <c r="AP377">
        <v>0</v>
      </c>
      <c r="AQ377">
        <v>197.0727972</v>
      </c>
      <c r="AR377">
        <v>0</v>
      </c>
      <c r="AS377">
        <v>376</v>
      </c>
      <c r="AT377">
        <v>1</v>
      </c>
      <c r="AU377">
        <v>376</v>
      </c>
      <c r="AV377">
        <v>6</v>
      </c>
      <c r="AW377" t="s">
        <v>504</v>
      </c>
      <c r="AX377" t="s">
        <v>45</v>
      </c>
      <c r="AY377" t="s">
        <v>501</v>
      </c>
      <c r="AZ377">
        <v>1506</v>
      </c>
      <c r="BA377" t="s">
        <v>505</v>
      </c>
      <c r="BB377">
        <v>855</v>
      </c>
      <c r="BC377" t="s">
        <v>506</v>
      </c>
      <c r="BD377">
        <v>1930</v>
      </c>
      <c r="BE377">
        <v>0</v>
      </c>
      <c r="BF377">
        <v>37.541311299999997</v>
      </c>
    </row>
    <row r="378" spans="1:58" x14ac:dyDescent="0.2">
      <c r="A378">
        <v>377</v>
      </c>
      <c r="B378" t="s">
        <v>426</v>
      </c>
      <c r="C378">
        <v>0</v>
      </c>
      <c r="H378" t="s">
        <v>426</v>
      </c>
      <c r="I378" t="s">
        <v>141</v>
      </c>
      <c r="Q378" t="s">
        <v>426</v>
      </c>
      <c r="R378">
        <v>433.90236490000001</v>
      </c>
      <c r="S378">
        <v>2</v>
      </c>
      <c r="T378">
        <v>130</v>
      </c>
      <c r="V378">
        <v>0</v>
      </c>
      <c r="W378">
        <v>0</v>
      </c>
      <c r="X378" t="s">
        <v>426</v>
      </c>
      <c r="Y378">
        <v>1</v>
      </c>
      <c r="Z378">
        <v>2</v>
      </c>
      <c r="AA378">
        <v>433.9</v>
      </c>
      <c r="AB378">
        <v>130</v>
      </c>
      <c r="AC378">
        <v>1.18</v>
      </c>
      <c r="AD378">
        <v>0.12</v>
      </c>
      <c r="AE378">
        <v>0.03</v>
      </c>
      <c r="AF378">
        <v>0.06</v>
      </c>
      <c r="AG378">
        <v>1</v>
      </c>
      <c r="AH378">
        <v>1.18</v>
      </c>
      <c r="AI378">
        <v>1.18</v>
      </c>
      <c r="AJ378">
        <v>1.18</v>
      </c>
      <c r="AK378">
        <v>0.12</v>
      </c>
      <c r="AL378">
        <v>0.12</v>
      </c>
      <c r="AM378">
        <v>0.12</v>
      </c>
      <c r="AN378">
        <v>0.03</v>
      </c>
      <c r="AO378">
        <v>0.03</v>
      </c>
      <c r="AP378">
        <v>0.03</v>
      </c>
      <c r="AQ378">
        <v>433.90236490000001</v>
      </c>
      <c r="AR378">
        <v>0</v>
      </c>
      <c r="AS378">
        <v>377</v>
      </c>
      <c r="AT378">
        <v>1</v>
      </c>
      <c r="AU378">
        <v>377</v>
      </c>
      <c r="AV378">
        <v>6</v>
      </c>
      <c r="AW378" t="s">
        <v>522</v>
      </c>
      <c r="AX378" t="s">
        <v>45</v>
      </c>
      <c r="AY378" t="s">
        <v>501</v>
      </c>
      <c r="AZ378">
        <v>1512</v>
      </c>
      <c r="BA378" t="s">
        <v>523</v>
      </c>
      <c r="BB378">
        <v>1001</v>
      </c>
      <c r="BC378" t="s">
        <v>524</v>
      </c>
      <c r="BD378">
        <v>1930</v>
      </c>
      <c r="BE378">
        <v>0</v>
      </c>
      <c r="BF378">
        <v>23.98027737</v>
      </c>
    </row>
    <row r="379" spans="1:58" x14ac:dyDescent="0.2">
      <c r="A379">
        <v>378</v>
      </c>
      <c r="B379" t="s">
        <v>427</v>
      </c>
      <c r="C379">
        <v>0</v>
      </c>
      <c r="H379" t="s">
        <v>427</v>
      </c>
      <c r="I379" t="s">
        <v>141</v>
      </c>
      <c r="Q379" t="s">
        <v>427</v>
      </c>
      <c r="R379">
        <v>29.979922810000001</v>
      </c>
      <c r="S379">
        <v>2</v>
      </c>
      <c r="T379">
        <v>130</v>
      </c>
      <c r="V379">
        <v>0</v>
      </c>
      <c r="W379">
        <v>0</v>
      </c>
      <c r="X379" t="s">
        <v>427</v>
      </c>
      <c r="Y379">
        <v>-1</v>
      </c>
      <c r="Z379">
        <v>2</v>
      </c>
      <c r="AA379">
        <v>29.98</v>
      </c>
      <c r="AB379">
        <v>130</v>
      </c>
      <c r="AC379">
        <v>1.47</v>
      </c>
      <c r="AD379">
        <v>0.15</v>
      </c>
      <c r="AE379">
        <v>0</v>
      </c>
      <c r="AF379">
        <v>0.09</v>
      </c>
      <c r="AG379">
        <v>1</v>
      </c>
      <c r="AH379">
        <v>1.47</v>
      </c>
      <c r="AI379">
        <v>1.47</v>
      </c>
      <c r="AJ379">
        <v>1.47</v>
      </c>
      <c r="AK379">
        <v>0.15</v>
      </c>
      <c r="AL379">
        <v>0.15</v>
      </c>
      <c r="AM379">
        <v>0.15</v>
      </c>
      <c r="AN379">
        <v>0</v>
      </c>
      <c r="AO379">
        <v>0</v>
      </c>
      <c r="AP379">
        <v>0</v>
      </c>
      <c r="AQ379">
        <v>29.979922810000001</v>
      </c>
      <c r="AR379">
        <v>0</v>
      </c>
      <c r="AS379">
        <v>378</v>
      </c>
      <c r="AT379">
        <v>1</v>
      </c>
      <c r="AU379">
        <v>378</v>
      </c>
      <c r="AV379">
        <v>2</v>
      </c>
      <c r="AW379" t="s">
        <v>973</v>
      </c>
      <c r="AX379" t="s">
        <v>141</v>
      </c>
      <c r="AY379" t="s">
        <v>501</v>
      </c>
      <c r="AZ379">
        <v>915</v>
      </c>
      <c r="BA379" t="s">
        <v>974</v>
      </c>
      <c r="BB379">
        <v>1676</v>
      </c>
      <c r="BC379" t="s">
        <v>512</v>
      </c>
      <c r="BD379">
        <v>1950</v>
      </c>
      <c r="BE379">
        <v>0</v>
      </c>
      <c r="BF379">
        <v>29.979836769999999</v>
      </c>
    </row>
    <row r="380" spans="1:58" x14ac:dyDescent="0.2">
      <c r="A380">
        <v>379</v>
      </c>
      <c r="B380" t="s">
        <v>428</v>
      </c>
      <c r="C380">
        <v>0</v>
      </c>
      <c r="H380" t="s">
        <v>428</v>
      </c>
      <c r="I380" t="s">
        <v>141</v>
      </c>
      <c r="Q380" t="s">
        <v>428</v>
      </c>
      <c r="R380">
        <v>295.05927609999998</v>
      </c>
      <c r="S380">
        <v>2</v>
      </c>
      <c r="T380">
        <v>130</v>
      </c>
      <c r="V380">
        <v>0</v>
      </c>
      <c r="W380">
        <v>0</v>
      </c>
      <c r="X380" t="s">
        <v>428</v>
      </c>
      <c r="Y380">
        <v>-1</v>
      </c>
      <c r="Z380">
        <v>2</v>
      </c>
      <c r="AA380">
        <v>295.06</v>
      </c>
      <c r="AB380">
        <v>130</v>
      </c>
      <c r="AC380">
        <v>1.47</v>
      </c>
      <c r="AD380">
        <v>0.15</v>
      </c>
      <c r="AE380">
        <v>0.03</v>
      </c>
      <c r="AF380">
        <v>0.09</v>
      </c>
      <c r="AG380">
        <v>1</v>
      </c>
      <c r="AH380">
        <v>1.47</v>
      </c>
      <c r="AI380">
        <v>1.47</v>
      </c>
      <c r="AJ380">
        <v>1.47</v>
      </c>
      <c r="AK380">
        <v>0.15</v>
      </c>
      <c r="AL380">
        <v>0.15</v>
      </c>
      <c r="AM380">
        <v>0.15</v>
      </c>
      <c r="AN380">
        <v>0.03</v>
      </c>
      <c r="AO380">
        <v>0.03</v>
      </c>
      <c r="AP380">
        <v>0.03</v>
      </c>
      <c r="AQ380">
        <v>295.05927609999998</v>
      </c>
      <c r="AR380">
        <v>0</v>
      </c>
      <c r="AS380">
        <v>379</v>
      </c>
      <c r="AT380">
        <v>1</v>
      </c>
      <c r="AU380">
        <v>379</v>
      </c>
      <c r="AV380">
        <v>2</v>
      </c>
      <c r="AW380" t="s">
        <v>975</v>
      </c>
      <c r="AX380" t="s">
        <v>141</v>
      </c>
      <c r="AY380" t="s">
        <v>501</v>
      </c>
      <c r="AZ380">
        <v>1676</v>
      </c>
      <c r="BA380" t="s">
        <v>512</v>
      </c>
      <c r="BB380">
        <v>854</v>
      </c>
      <c r="BC380" t="s">
        <v>912</v>
      </c>
      <c r="BD380">
        <v>1950</v>
      </c>
      <c r="BE380">
        <v>0</v>
      </c>
      <c r="BF380">
        <v>295.05946160000002</v>
      </c>
    </row>
    <row r="381" spans="1:58" x14ac:dyDescent="0.2">
      <c r="A381">
        <v>380</v>
      </c>
      <c r="B381" t="s">
        <v>429</v>
      </c>
      <c r="C381">
        <v>0</v>
      </c>
      <c r="H381" t="s">
        <v>429</v>
      </c>
      <c r="I381" t="s">
        <v>141</v>
      </c>
      <c r="Q381" t="s">
        <v>429</v>
      </c>
      <c r="R381">
        <v>207.2291682</v>
      </c>
      <c r="S381">
        <v>2</v>
      </c>
      <c r="T381">
        <v>130</v>
      </c>
      <c r="V381">
        <v>0</v>
      </c>
      <c r="W381">
        <v>0</v>
      </c>
      <c r="X381" t="s">
        <v>429</v>
      </c>
      <c r="Y381">
        <v>1</v>
      </c>
      <c r="Z381">
        <v>2</v>
      </c>
      <c r="AA381">
        <v>207.23</v>
      </c>
      <c r="AB381">
        <v>130</v>
      </c>
      <c r="AC381">
        <v>1.8</v>
      </c>
      <c r="AD381">
        <v>0.18</v>
      </c>
      <c r="AE381">
        <v>0.03</v>
      </c>
      <c r="AF381">
        <v>0.13</v>
      </c>
      <c r="AG381">
        <v>1</v>
      </c>
      <c r="AH381">
        <v>1.8</v>
      </c>
      <c r="AI381">
        <v>1.8</v>
      </c>
      <c r="AJ381">
        <v>1.8</v>
      </c>
      <c r="AK381">
        <v>0.18</v>
      </c>
      <c r="AL381">
        <v>0.18</v>
      </c>
      <c r="AM381">
        <v>0.18</v>
      </c>
      <c r="AN381">
        <v>0.03</v>
      </c>
      <c r="AO381">
        <v>0.03</v>
      </c>
      <c r="AP381">
        <v>0.03</v>
      </c>
      <c r="AQ381">
        <v>207.2291682</v>
      </c>
      <c r="AR381">
        <v>0</v>
      </c>
      <c r="AS381">
        <v>380</v>
      </c>
      <c r="AT381">
        <v>1</v>
      </c>
      <c r="AU381">
        <v>380</v>
      </c>
      <c r="AV381">
        <v>6</v>
      </c>
      <c r="AW381" t="s">
        <v>911</v>
      </c>
      <c r="AX381" t="s">
        <v>45</v>
      </c>
      <c r="AY381" t="s">
        <v>501</v>
      </c>
      <c r="AZ381">
        <v>854</v>
      </c>
      <c r="BA381" t="s">
        <v>912</v>
      </c>
      <c r="BB381">
        <v>1035</v>
      </c>
      <c r="BC381" t="s">
        <v>910</v>
      </c>
      <c r="BD381">
        <v>2000</v>
      </c>
      <c r="BE381">
        <v>0</v>
      </c>
      <c r="BF381">
        <v>1975.800105</v>
      </c>
    </row>
    <row r="382" spans="1:58" x14ac:dyDescent="0.2">
      <c r="A382">
        <v>381</v>
      </c>
      <c r="B382" t="s">
        <v>430</v>
      </c>
      <c r="C382">
        <v>0</v>
      </c>
      <c r="H382" t="s">
        <v>430</v>
      </c>
      <c r="I382" t="s">
        <v>141</v>
      </c>
      <c r="Q382" t="s">
        <v>430</v>
      </c>
      <c r="R382">
        <v>18.512161420000002</v>
      </c>
      <c r="S382">
        <v>2</v>
      </c>
      <c r="T382">
        <v>130</v>
      </c>
      <c r="V382">
        <v>0</v>
      </c>
      <c r="W382">
        <v>0</v>
      </c>
      <c r="X382" t="s">
        <v>430</v>
      </c>
      <c r="Y382">
        <v>1</v>
      </c>
      <c r="Z382">
        <v>2</v>
      </c>
      <c r="AA382">
        <v>18.510000000000002</v>
      </c>
      <c r="AB382">
        <v>130</v>
      </c>
      <c r="AC382">
        <v>1.8</v>
      </c>
      <c r="AD382">
        <v>0.18</v>
      </c>
      <c r="AE382">
        <v>0</v>
      </c>
      <c r="AF382">
        <v>0.13</v>
      </c>
      <c r="AG382">
        <v>1</v>
      </c>
      <c r="AH382">
        <v>1.8</v>
      </c>
      <c r="AI382">
        <v>1.8</v>
      </c>
      <c r="AJ382">
        <v>1.8</v>
      </c>
      <c r="AK382">
        <v>0.18</v>
      </c>
      <c r="AL382">
        <v>0.18</v>
      </c>
      <c r="AM382">
        <v>0.18</v>
      </c>
      <c r="AN382">
        <v>0</v>
      </c>
      <c r="AO382">
        <v>0</v>
      </c>
      <c r="AP382">
        <v>0</v>
      </c>
      <c r="AQ382">
        <v>18.512161420000002</v>
      </c>
      <c r="AR382">
        <v>0</v>
      </c>
      <c r="AS382">
        <v>381</v>
      </c>
      <c r="AT382">
        <v>1</v>
      </c>
      <c r="AU382">
        <v>381</v>
      </c>
      <c r="AV382">
        <v>2</v>
      </c>
      <c r="AW382" t="s">
        <v>976</v>
      </c>
      <c r="AX382" t="s">
        <v>141</v>
      </c>
      <c r="AY382" t="s">
        <v>501</v>
      </c>
      <c r="AZ382">
        <v>854</v>
      </c>
      <c r="BA382" t="s">
        <v>912</v>
      </c>
      <c r="BB382">
        <v>1674</v>
      </c>
      <c r="BC382" t="s">
        <v>503</v>
      </c>
      <c r="BD382">
        <v>1950</v>
      </c>
      <c r="BE382">
        <v>0</v>
      </c>
      <c r="BF382">
        <v>225.74136229999999</v>
      </c>
    </row>
    <row r="383" spans="1:58" x14ac:dyDescent="0.2">
      <c r="A383">
        <v>382</v>
      </c>
      <c r="B383" t="s">
        <v>431</v>
      </c>
      <c r="C383">
        <v>0</v>
      </c>
      <c r="H383" t="s">
        <v>431</v>
      </c>
      <c r="I383" t="s">
        <v>141</v>
      </c>
      <c r="Q383" t="s">
        <v>431</v>
      </c>
      <c r="R383">
        <v>147.95065589999999</v>
      </c>
      <c r="S383">
        <v>2</v>
      </c>
      <c r="T383">
        <v>130</v>
      </c>
      <c r="V383">
        <v>0</v>
      </c>
      <c r="W383">
        <v>0</v>
      </c>
      <c r="X383" t="s">
        <v>431</v>
      </c>
      <c r="Y383">
        <v>1</v>
      </c>
      <c r="Z383">
        <v>2</v>
      </c>
      <c r="AA383">
        <v>147.94999999999999</v>
      </c>
      <c r="AB383">
        <v>130</v>
      </c>
      <c r="AC383">
        <v>0.14000000000000001</v>
      </c>
      <c r="AD383">
        <v>0.01</v>
      </c>
      <c r="AE383">
        <v>0</v>
      </c>
      <c r="AF383">
        <v>0</v>
      </c>
      <c r="AG383">
        <v>1</v>
      </c>
      <c r="AH383">
        <v>0.14000000000000001</v>
      </c>
      <c r="AI383">
        <v>0.14000000000000001</v>
      </c>
      <c r="AJ383">
        <v>0.14000000000000001</v>
      </c>
      <c r="AK383">
        <v>0.01</v>
      </c>
      <c r="AL383">
        <v>0.01</v>
      </c>
      <c r="AM383">
        <v>0.01</v>
      </c>
      <c r="AN383">
        <v>0</v>
      </c>
      <c r="AO383">
        <v>0</v>
      </c>
      <c r="AP383">
        <v>0</v>
      </c>
      <c r="AQ383">
        <v>147.95065589999999</v>
      </c>
      <c r="AR383">
        <v>0</v>
      </c>
      <c r="AS383">
        <v>382</v>
      </c>
      <c r="AT383">
        <v>1</v>
      </c>
      <c r="AU383">
        <v>382</v>
      </c>
      <c r="AV383">
        <v>6</v>
      </c>
      <c r="AW383" t="s">
        <v>500</v>
      </c>
      <c r="AX383" t="s">
        <v>45</v>
      </c>
      <c r="AY383" t="s">
        <v>501</v>
      </c>
      <c r="AZ383">
        <v>1505</v>
      </c>
      <c r="BA383" t="s">
        <v>502</v>
      </c>
      <c r="BB383">
        <v>1674</v>
      </c>
      <c r="BC383" t="s">
        <v>503</v>
      </c>
      <c r="BD383">
        <v>1930</v>
      </c>
      <c r="BE383">
        <v>0</v>
      </c>
      <c r="BF383">
        <v>49.271011229999999</v>
      </c>
    </row>
    <row r="384" spans="1:58" x14ac:dyDescent="0.2">
      <c r="A384">
        <v>383</v>
      </c>
      <c r="B384" t="s">
        <v>432</v>
      </c>
      <c r="C384">
        <v>0</v>
      </c>
      <c r="H384" t="s">
        <v>432</v>
      </c>
      <c r="I384" t="s">
        <v>45</v>
      </c>
      <c r="Q384" t="s">
        <v>432</v>
      </c>
      <c r="R384">
        <v>16.65931746</v>
      </c>
      <c r="S384">
        <v>6</v>
      </c>
      <c r="T384">
        <v>130</v>
      </c>
      <c r="V384">
        <v>0</v>
      </c>
      <c r="W384">
        <v>0</v>
      </c>
      <c r="X384" t="s">
        <v>432</v>
      </c>
      <c r="Y384">
        <v>-1</v>
      </c>
      <c r="Z384">
        <v>6</v>
      </c>
      <c r="AA384">
        <v>16.66</v>
      </c>
      <c r="AB384">
        <v>130</v>
      </c>
      <c r="AC384">
        <v>34.6</v>
      </c>
      <c r="AD384">
        <v>0.39</v>
      </c>
      <c r="AE384">
        <v>0</v>
      </c>
      <c r="AF384">
        <v>0.15</v>
      </c>
      <c r="AG384">
        <v>1</v>
      </c>
      <c r="AH384">
        <v>34.6</v>
      </c>
      <c r="AI384">
        <v>34.6</v>
      </c>
      <c r="AJ384">
        <v>34.6</v>
      </c>
      <c r="AK384">
        <v>0.39</v>
      </c>
      <c r="AL384">
        <v>0.39</v>
      </c>
      <c r="AM384">
        <v>0.39</v>
      </c>
      <c r="AN384">
        <v>0</v>
      </c>
      <c r="AO384">
        <v>0</v>
      </c>
      <c r="AP384">
        <v>0</v>
      </c>
      <c r="AQ384">
        <v>16.65931746</v>
      </c>
      <c r="AR384">
        <v>0</v>
      </c>
      <c r="AS384">
        <v>383</v>
      </c>
      <c r="AT384">
        <v>1</v>
      </c>
      <c r="AU384">
        <v>383</v>
      </c>
      <c r="AV384">
        <v>6</v>
      </c>
      <c r="AW384" t="s">
        <v>615</v>
      </c>
      <c r="AX384" t="s">
        <v>45</v>
      </c>
      <c r="AY384" t="s">
        <v>501</v>
      </c>
      <c r="AZ384">
        <v>1544</v>
      </c>
      <c r="BA384" t="s">
        <v>616</v>
      </c>
      <c r="BB384">
        <v>1701</v>
      </c>
      <c r="BC384" t="s">
        <v>617</v>
      </c>
      <c r="BD384">
        <v>1930</v>
      </c>
      <c r="BE384">
        <v>0</v>
      </c>
      <c r="BF384">
        <v>12.93515388</v>
      </c>
    </row>
    <row r="385" spans="1:58" x14ac:dyDescent="0.2">
      <c r="A385">
        <v>384</v>
      </c>
      <c r="B385" t="s">
        <v>433</v>
      </c>
      <c r="C385">
        <v>0</v>
      </c>
      <c r="H385" t="s">
        <v>433</v>
      </c>
      <c r="I385" t="s">
        <v>45</v>
      </c>
      <c r="Q385" t="s">
        <v>433</v>
      </c>
      <c r="R385">
        <v>718.31008780000002</v>
      </c>
      <c r="S385">
        <v>6</v>
      </c>
      <c r="T385">
        <v>130</v>
      </c>
      <c r="V385">
        <v>0</v>
      </c>
      <c r="W385">
        <v>0</v>
      </c>
      <c r="X385" t="s">
        <v>433</v>
      </c>
      <c r="Y385">
        <v>-1</v>
      </c>
      <c r="Z385">
        <v>6</v>
      </c>
      <c r="AA385">
        <v>718.31</v>
      </c>
      <c r="AB385">
        <v>130</v>
      </c>
      <c r="AC385">
        <v>34.6</v>
      </c>
      <c r="AD385">
        <v>0.39</v>
      </c>
      <c r="AE385">
        <v>0.1</v>
      </c>
      <c r="AF385">
        <v>0.15</v>
      </c>
      <c r="AG385">
        <v>1</v>
      </c>
      <c r="AH385">
        <v>34.6</v>
      </c>
      <c r="AI385">
        <v>34.6</v>
      </c>
      <c r="AJ385">
        <v>34.6</v>
      </c>
      <c r="AK385">
        <v>0.39</v>
      </c>
      <c r="AL385">
        <v>0.39</v>
      </c>
      <c r="AM385">
        <v>0.39</v>
      </c>
      <c r="AN385">
        <v>0.1</v>
      </c>
      <c r="AO385">
        <v>0.1</v>
      </c>
      <c r="AP385">
        <v>0.1</v>
      </c>
      <c r="AQ385">
        <v>718.31008780000002</v>
      </c>
      <c r="AR385">
        <v>0</v>
      </c>
      <c r="AS385">
        <v>384</v>
      </c>
      <c r="AT385">
        <v>1</v>
      </c>
      <c r="AU385">
        <v>384</v>
      </c>
      <c r="AV385">
        <v>6</v>
      </c>
      <c r="AW385" t="s">
        <v>618</v>
      </c>
      <c r="AX385" t="s">
        <v>45</v>
      </c>
      <c r="AY385" t="s">
        <v>501</v>
      </c>
      <c r="AZ385">
        <v>1545</v>
      </c>
      <c r="BA385" t="s">
        <v>619</v>
      </c>
      <c r="BB385">
        <v>1702</v>
      </c>
      <c r="BC385" t="s">
        <v>620</v>
      </c>
      <c r="BD385">
        <v>1930</v>
      </c>
      <c r="BE385">
        <v>0</v>
      </c>
      <c r="BF385">
        <v>32.960292719999998</v>
      </c>
    </row>
    <row r="386" spans="1:58" x14ac:dyDescent="0.2">
      <c r="A386">
        <v>385</v>
      </c>
      <c r="B386" t="s">
        <v>434</v>
      </c>
      <c r="C386">
        <v>0</v>
      </c>
      <c r="H386" t="s">
        <v>434</v>
      </c>
      <c r="I386" t="s">
        <v>45</v>
      </c>
      <c r="Q386" t="s">
        <v>434</v>
      </c>
      <c r="R386">
        <v>46.007285600000003</v>
      </c>
      <c r="S386">
        <v>6</v>
      </c>
      <c r="T386">
        <v>130</v>
      </c>
      <c r="V386">
        <v>0</v>
      </c>
      <c r="W386">
        <v>0</v>
      </c>
      <c r="X386" t="s">
        <v>434</v>
      </c>
      <c r="Y386">
        <v>-1</v>
      </c>
      <c r="Z386">
        <v>6</v>
      </c>
      <c r="AA386">
        <v>46.01</v>
      </c>
      <c r="AB386">
        <v>130</v>
      </c>
      <c r="AC386">
        <v>34.6</v>
      </c>
      <c r="AD386">
        <v>0.39</v>
      </c>
      <c r="AE386">
        <v>0.01</v>
      </c>
      <c r="AF386">
        <v>0.15</v>
      </c>
      <c r="AG386">
        <v>1</v>
      </c>
      <c r="AH386">
        <v>34.6</v>
      </c>
      <c r="AI386">
        <v>34.6</v>
      </c>
      <c r="AJ386">
        <v>34.6</v>
      </c>
      <c r="AK386">
        <v>0.39</v>
      </c>
      <c r="AL386">
        <v>0.39</v>
      </c>
      <c r="AM386">
        <v>0.39</v>
      </c>
      <c r="AN386">
        <v>0.01</v>
      </c>
      <c r="AO386">
        <v>0.01</v>
      </c>
      <c r="AP386">
        <v>0.01</v>
      </c>
      <c r="AQ386">
        <v>46.007285600000003</v>
      </c>
      <c r="AR386">
        <v>0</v>
      </c>
      <c r="AS386">
        <v>385</v>
      </c>
      <c r="AT386">
        <v>1</v>
      </c>
      <c r="AU386">
        <v>385</v>
      </c>
      <c r="AV386">
        <v>6</v>
      </c>
      <c r="AW386" t="s">
        <v>977</v>
      </c>
      <c r="AX386" t="s">
        <v>45</v>
      </c>
      <c r="AY386" t="s">
        <v>501</v>
      </c>
      <c r="AZ386">
        <v>1702</v>
      </c>
      <c r="BA386" t="s">
        <v>620</v>
      </c>
      <c r="BB386">
        <v>965</v>
      </c>
      <c r="BC386" t="s">
        <v>864</v>
      </c>
      <c r="BD386">
        <v>1930</v>
      </c>
      <c r="BE386">
        <v>0</v>
      </c>
      <c r="BF386">
        <v>59.114139520000002</v>
      </c>
    </row>
    <row r="387" spans="1:58" x14ac:dyDescent="0.2">
      <c r="A387">
        <v>386</v>
      </c>
      <c r="B387" t="s">
        <v>435</v>
      </c>
      <c r="C387">
        <v>0</v>
      </c>
      <c r="H387" t="s">
        <v>435</v>
      </c>
      <c r="I387" t="s">
        <v>45</v>
      </c>
      <c r="Q387" t="s">
        <v>435</v>
      </c>
      <c r="R387">
        <v>13.106811069999999</v>
      </c>
      <c r="S387">
        <v>6</v>
      </c>
      <c r="T387">
        <v>130</v>
      </c>
      <c r="V387">
        <v>0</v>
      </c>
      <c r="W387">
        <v>0</v>
      </c>
      <c r="X387" t="s">
        <v>435</v>
      </c>
      <c r="Y387">
        <v>-1</v>
      </c>
      <c r="Z387">
        <v>6</v>
      </c>
      <c r="AA387">
        <v>13.11</v>
      </c>
      <c r="AB387">
        <v>130</v>
      </c>
      <c r="AC387">
        <v>34.6</v>
      </c>
      <c r="AD387">
        <v>0.39</v>
      </c>
      <c r="AE387">
        <v>0</v>
      </c>
      <c r="AF387">
        <v>0.14000000000000001</v>
      </c>
      <c r="AG387">
        <v>1</v>
      </c>
      <c r="AH387">
        <v>34.6</v>
      </c>
      <c r="AI387">
        <v>34.6</v>
      </c>
      <c r="AJ387">
        <v>34.6</v>
      </c>
      <c r="AK387">
        <v>0.39</v>
      </c>
      <c r="AL387">
        <v>0.39</v>
      </c>
      <c r="AM387">
        <v>0.39</v>
      </c>
      <c r="AN387">
        <v>0</v>
      </c>
      <c r="AO387">
        <v>0</v>
      </c>
      <c r="AP387">
        <v>0</v>
      </c>
      <c r="AQ387">
        <v>13.106811069999999</v>
      </c>
      <c r="AR387">
        <v>0</v>
      </c>
      <c r="AS387">
        <v>386</v>
      </c>
      <c r="AT387">
        <v>1</v>
      </c>
      <c r="AU387">
        <v>386</v>
      </c>
      <c r="AV387">
        <v>6</v>
      </c>
      <c r="AW387" t="s">
        <v>865</v>
      </c>
      <c r="AX387" t="s">
        <v>158</v>
      </c>
      <c r="AY387" t="s">
        <v>501</v>
      </c>
      <c r="AZ387">
        <v>965</v>
      </c>
      <c r="BA387" t="s">
        <v>864</v>
      </c>
      <c r="BB387">
        <v>1703</v>
      </c>
      <c r="BC387" t="s">
        <v>623</v>
      </c>
      <c r="BD387">
        <v>1950</v>
      </c>
      <c r="BE387">
        <v>0</v>
      </c>
      <c r="BF387">
        <v>261.7777921</v>
      </c>
    </row>
    <row r="388" spans="1:58" x14ac:dyDescent="0.2">
      <c r="A388">
        <v>387</v>
      </c>
      <c r="B388" t="s">
        <v>436</v>
      </c>
      <c r="C388">
        <v>0</v>
      </c>
      <c r="H388" t="s">
        <v>436</v>
      </c>
      <c r="I388" t="s">
        <v>437</v>
      </c>
      <c r="Q388" t="s">
        <v>436</v>
      </c>
      <c r="R388">
        <v>579</v>
      </c>
      <c r="S388">
        <v>6</v>
      </c>
      <c r="T388">
        <v>130</v>
      </c>
      <c r="U388">
        <v>0</v>
      </c>
      <c r="V388">
        <v>0</v>
      </c>
      <c r="W388">
        <v>0</v>
      </c>
      <c r="X388" t="s">
        <v>436</v>
      </c>
      <c r="Y388">
        <v>-1</v>
      </c>
      <c r="Z388">
        <v>6</v>
      </c>
      <c r="AA388">
        <v>579</v>
      </c>
      <c r="AB388">
        <v>130</v>
      </c>
      <c r="AC388">
        <v>36.81</v>
      </c>
      <c r="AD388">
        <v>0.42</v>
      </c>
      <c r="AE388">
        <v>0.09</v>
      </c>
      <c r="AF388">
        <v>0.16</v>
      </c>
      <c r="AG388">
        <v>1</v>
      </c>
      <c r="AH388">
        <v>36.81</v>
      </c>
      <c r="AI388">
        <v>36.81</v>
      </c>
      <c r="AJ388">
        <v>36.81</v>
      </c>
      <c r="AK388">
        <v>0.42</v>
      </c>
      <c r="AL388">
        <v>0.42</v>
      </c>
      <c r="AM388">
        <v>0.42</v>
      </c>
      <c r="AN388">
        <v>0.09</v>
      </c>
      <c r="AO388">
        <v>0.09</v>
      </c>
      <c r="AP388">
        <v>0.09</v>
      </c>
      <c r="AQ388">
        <v>579.70843830000001</v>
      </c>
      <c r="AR388">
        <v>0</v>
      </c>
      <c r="AS388">
        <v>387</v>
      </c>
      <c r="AT388">
        <v>1</v>
      </c>
      <c r="AU388">
        <v>387</v>
      </c>
      <c r="AV388">
        <v>6</v>
      </c>
      <c r="AW388" t="s">
        <v>978</v>
      </c>
      <c r="AX388" t="s">
        <v>45</v>
      </c>
      <c r="AY388" t="s">
        <v>501</v>
      </c>
      <c r="AZ388">
        <v>938</v>
      </c>
      <c r="BA388" t="s">
        <v>756</v>
      </c>
      <c r="BB388">
        <v>1019</v>
      </c>
      <c r="BC388" t="s">
        <v>979</v>
      </c>
      <c r="BD388">
        <v>1980</v>
      </c>
      <c r="BE388">
        <v>0</v>
      </c>
      <c r="BF388">
        <v>1513.8028489999999</v>
      </c>
    </row>
    <row r="389" spans="1:58" x14ac:dyDescent="0.2">
      <c r="A389">
        <v>388</v>
      </c>
      <c r="B389" t="s">
        <v>438</v>
      </c>
      <c r="C389">
        <v>0</v>
      </c>
      <c r="H389" t="s">
        <v>438</v>
      </c>
      <c r="I389" t="s">
        <v>439</v>
      </c>
      <c r="Q389" t="s">
        <v>438</v>
      </c>
      <c r="R389">
        <v>100</v>
      </c>
      <c r="S389">
        <v>6</v>
      </c>
      <c r="T389">
        <v>130</v>
      </c>
      <c r="U389">
        <v>0</v>
      </c>
      <c r="V389">
        <v>0</v>
      </c>
      <c r="W389">
        <v>0</v>
      </c>
      <c r="X389" t="s">
        <v>438</v>
      </c>
      <c r="Y389">
        <v>1</v>
      </c>
      <c r="Z389">
        <v>6</v>
      </c>
      <c r="AA389">
        <v>100</v>
      </c>
      <c r="AB389">
        <v>130</v>
      </c>
      <c r="AC389">
        <v>27.2</v>
      </c>
      <c r="AD389">
        <v>0.31</v>
      </c>
      <c r="AE389">
        <v>0.01</v>
      </c>
      <c r="AF389">
        <v>0.09</v>
      </c>
      <c r="AG389">
        <v>1</v>
      </c>
      <c r="AH389">
        <v>27.2</v>
      </c>
      <c r="AI389">
        <v>27.2</v>
      </c>
      <c r="AJ389">
        <v>27.2</v>
      </c>
      <c r="AK389">
        <v>0.31</v>
      </c>
      <c r="AL389">
        <v>0.31</v>
      </c>
      <c r="AM389">
        <v>0.31</v>
      </c>
      <c r="AN389">
        <v>0.01</v>
      </c>
      <c r="AO389">
        <v>0.01</v>
      </c>
      <c r="AP389">
        <v>0.01</v>
      </c>
      <c r="AQ389">
        <v>137.55373449999999</v>
      </c>
      <c r="AR389">
        <v>0</v>
      </c>
      <c r="AS389">
        <v>388</v>
      </c>
      <c r="AT389">
        <v>1</v>
      </c>
      <c r="AU389">
        <v>388</v>
      </c>
      <c r="AV389">
        <v>6</v>
      </c>
      <c r="AW389" t="s">
        <v>710</v>
      </c>
      <c r="AX389" t="s">
        <v>45</v>
      </c>
      <c r="AY389" t="s">
        <v>501</v>
      </c>
      <c r="AZ389">
        <v>1735</v>
      </c>
      <c r="BA389" t="s">
        <v>711</v>
      </c>
      <c r="BB389">
        <v>1066</v>
      </c>
      <c r="BC389" t="s">
        <v>712</v>
      </c>
      <c r="BD389">
        <v>2000</v>
      </c>
      <c r="BE389">
        <v>1</v>
      </c>
      <c r="BF389">
        <v>5442.121384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Louisa_wConduits_Input_CSV</vt:lpstr>
      <vt:lpstr>Sheet1</vt:lpstr>
      <vt:lpstr>InstallDate</vt:lpstr>
      <vt:lpstr>InstallDate!Louisa_wConduits_Risk_Table_wPipes_Nominal_Flow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 White</dc:creator>
  <cp:lastModifiedBy>Samuel B White</cp:lastModifiedBy>
  <dcterms:created xsi:type="dcterms:W3CDTF">2026-03-22T23:01:27Z</dcterms:created>
  <dcterms:modified xsi:type="dcterms:W3CDTF">2026-03-27T14:27:10Z</dcterms:modified>
</cp:coreProperties>
</file>